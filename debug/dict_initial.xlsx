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https://uab-my.sharepoint.com/personal/2131557_uab_cat/Documents/Documentos/myprojects/2026/vision natural/2. paquetes/dsetup/"/>
    </mc:Choice>
  </mc:AlternateContent>
  <xr:revisionPtr revIDLastSave="61" documentId="11_3B66C2781315F3846A45202BF4CCA25621F06768" xr6:coauthVersionLast="47" xr6:coauthVersionMax="47" xr10:uidLastSave="{07AB2247-3374-DF4C-99C6-88BDFFDA3AA8}"/>
  <bookViews>
    <workbookView xWindow="0" yWindow="680" windowWidth="21500" windowHeight="13040" activeTab="2" xr2:uid="{00000000-000D-0000-FFFF-FFFF00000000}"/>
  </bookViews>
  <sheets>
    <sheet name="Instructions" sheetId="1" r:id="rId1"/>
    <sheet name="Variable_Map_Wide" sheetId="2" r:id="rId2"/>
    <sheet name="Factor_Levels" sheetId="3" r:id="rId3"/>
    <sheet name="Change_Log" sheetId="4" r:id="rId4"/>
    <sheet name="Original_Meta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3" l="1"/>
  <c r="C6" i="3"/>
  <c r="C5" i="3"/>
  <c r="C4" i="3"/>
  <c r="C3" i="3"/>
  <c r="C2" i="3"/>
</calcChain>
</file>

<file path=xl/sharedStrings.xml><?xml version="1.0" encoding="utf-8"?>
<sst xmlns="http://schemas.openxmlformats.org/spreadsheetml/2006/main" count="96" uniqueCount="47">
  <si>
    <t>SHEET: Variable_Map_Wide</t>
  </si>
  <si>
    <t xml:space="preserve">On this sheet users can modify the variables to harmonize. You need to review that equivalent variables in data versions are set in the same row and are given the same 'target_name'. 'target_name's can be modified as needed. The order can be changed as well. Variables unwanted in the harmonized data can be dropped (rows removed). A 'version 0' of the initial metadata is saved in the sheet 'Original:Metadata' for traceback purposes. </t>
  </si>
  <si>
    <t>CAUTION: Variables aligned by COLUMN POSITION. Verify that 'orig_w1' and 'orig_w2' actually correspond.</t>
  </si>
  <si>
    <t/>
  </si>
  <si>
    <t>SHEET: Factor_Levels</t>
  </si>
  <si>
    <t>CAUTION: Column C (target_name) is calculated automatically from target_name in 'Variable_Map_Wide'. Requires Excel 2021/365.</t>
  </si>
  <si>
    <t>LEGACY FIX: If showing #NAME?, replace formula with VLOOKUP, i.e. (european standard):</t>
  </si>
  <si>
    <t>=IFERROR(INDEX('Variable_Map_Wide'!$A:$A; MATCH(B2; 'Variable_Map_Wide'!$C:$C; 0)); INDEX('Variable_Map_Wide'!$A:$A; MATCH(B2; 'Variable_Map_Wide'!$D:$D; 0)))</t>
  </si>
  <si>
    <t>SHEET: Original_Metadata</t>
  </si>
  <si>
    <t xml:space="preserve">This sheet is only meant to leave a registry of the original structure of the data. Not for harmonization purposes. </t>
  </si>
  <si>
    <t>target_name</t>
  </si>
  <si>
    <t>description</t>
  </si>
  <si>
    <t>orig_en</t>
  </si>
  <si>
    <t>orig_sp</t>
  </si>
  <si>
    <t>orig_fr</t>
  </si>
  <si>
    <t>var_001</t>
  </si>
  <si>
    <t>id</t>
  </si>
  <si>
    <t>identificador</t>
  </si>
  <si>
    <t>email</t>
  </si>
  <si>
    <t>var_002</t>
  </si>
  <si>
    <t>question_1</t>
  </si>
  <si>
    <t>pregunta_1</t>
  </si>
  <si>
    <t>quesiton_1</t>
  </si>
  <si>
    <t>var_003</t>
  </si>
  <si>
    <t>question_2</t>
  </si>
  <si>
    <t>pregunta_2</t>
  </si>
  <si>
    <t>wave</t>
  </si>
  <si>
    <t>original_variable</t>
  </si>
  <si>
    <t>original_level</t>
  </si>
  <si>
    <t>standard_code</t>
  </si>
  <si>
    <t>standard_label</t>
  </si>
  <si>
    <t>cats</t>
  </si>
  <si>
    <t>gatos</t>
  </si>
  <si>
    <t>chats</t>
  </si>
  <si>
    <t>dogs</t>
  </si>
  <si>
    <t>perros</t>
  </si>
  <si>
    <t>chiens</t>
  </si>
  <si>
    <t>timestamp</t>
  </si>
  <si>
    <t>action</t>
  </si>
  <si>
    <t>match_strategy</t>
  </si>
  <si>
    <t>2026-03-10 16:36:59.91468</t>
  </si>
  <si>
    <t>INIT</t>
  </si>
  <si>
    <t>position</t>
  </si>
  <si>
    <t>q01</t>
  </si>
  <si>
    <t>q02</t>
  </si>
  <si>
    <t>standard_labels_español</t>
  </si>
  <si>
    <t>standard_labels_english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</si>
</sst>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factors" displayName="table_factors" ref="A1:H7" totalsRowShown="0">
  <autoFilter ref="A1:H7" xr:uid="{00000000-0009-0000-0100-000003000000}"/>
  <sortState xmlns:xlrd2="http://schemas.microsoft.com/office/spreadsheetml/2017/richdata2" ref="A2:F7">
    <sortCondition ref="E1:E7"/>
  </sortState>
  <tableColumns count="8">
    <tableColumn id="1" xr3:uid="{00000000-0010-0000-0000-000001000000}" name="wave"/>
    <tableColumn id="2" xr3:uid="{00000000-0010-0000-0000-000002000000}" name="original_variable"/>
    <tableColumn id="3" xr3:uid="{00000000-0010-0000-0000-000003000000}" name="target_name" dataDxfId="0"/>
    <tableColumn id="4" xr3:uid="{00000000-0010-0000-0000-000004000000}" name="original_level"/>
    <tableColumn id="5" xr3:uid="{00000000-0010-0000-0000-000005000000}" name="standard_code"/>
    <tableColumn id="6" xr3:uid="{00000000-0010-0000-0000-000006000000}" name="standard_label"/>
    <tableColumn id="7" xr3:uid="{6FFE4DD7-2861-334A-A54D-5D5A086837DA}" name="standard_labels_español"/>
    <tableColumn id="8" xr3:uid="{39299330-D3FE-BF49-880D-6CA92648F4F5}" name="standard_labels_englis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8" sqref="A8"/>
    </sheetView>
  </sheetViews>
  <sheetFormatPr baseColWidth="10"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3</v>
      </c>
    </row>
    <row r="10" spans="1:1" x14ac:dyDescent="0.2">
      <c r="A10" t="s">
        <v>3</v>
      </c>
    </row>
    <row r="11" spans="1:1" x14ac:dyDescent="0.2">
      <c r="A11" t="s">
        <v>8</v>
      </c>
    </row>
    <row r="12" spans="1:1" x14ac:dyDescent="0.2">
      <c r="A12" t="s">
        <v>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pane xSplit="1" topLeftCell="B1" activePane="topRight" state="frozen"/>
      <selection pane="topRight" activeCell="B2" sqref="B2"/>
    </sheetView>
  </sheetViews>
  <sheetFormatPr baseColWidth="10" defaultRowHeight="15" x14ac:dyDescent="0.2"/>
  <cols>
    <col min="1" max="1" width="14.1640625" customWidth="1"/>
    <col min="2" max="2" width="34.5" customWidth="1"/>
  </cols>
  <sheetData>
    <row r="1" spans="1:5" x14ac:dyDescent="0.2">
      <c r="A1" s="1" t="s">
        <v>10</v>
      </c>
      <c r="B1" s="1" t="s">
        <v>11</v>
      </c>
      <c r="C1" s="1" t="s">
        <v>12</v>
      </c>
      <c r="D1" s="1" t="s">
        <v>13</v>
      </c>
      <c r="E1" s="1" t="s">
        <v>14</v>
      </c>
    </row>
    <row r="2" spans="1:5" x14ac:dyDescent="0.2">
      <c r="A2" t="s">
        <v>16</v>
      </c>
      <c r="C2" t="s">
        <v>16</v>
      </c>
      <c r="D2" t="s">
        <v>17</v>
      </c>
      <c r="E2" t="s">
        <v>18</v>
      </c>
    </row>
    <row r="3" spans="1:5" x14ac:dyDescent="0.2">
      <c r="A3" t="s">
        <v>43</v>
      </c>
      <c r="C3" t="s">
        <v>20</v>
      </c>
      <c r="D3" t="s">
        <v>21</v>
      </c>
      <c r="E3" t="s">
        <v>22</v>
      </c>
    </row>
    <row r="4" spans="1:5" x14ac:dyDescent="0.2">
      <c r="A4" t="s">
        <v>44</v>
      </c>
      <c r="C4" t="s">
        <v>24</v>
      </c>
      <c r="D4" t="s">
        <v>25</v>
      </c>
      <c r="E4" t="s">
        <v>24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tabSelected="1" workbookViewId="0">
      <selection activeCell="H2" sqref="H2"/>
    </sheetView>
  </sheetViews>
  <sheetFormatPr baseColWidth="10" defaultRowHeight="15" x14ac:dyDescent="0.2"/>
  <cols>
    <col min="2" max="2" width="16.5" bestFit="1" customWidth="1"/>
    <col min="3" max="3" width="13.5" bestFit="1" customWidth="1"/>
    <col min="4" max="4" width="16.83203125" customWidth="1"/>
    <col min="5" max="5" width="23.33203125" customWidth="1"/>
    <col min="6" max="6" width="27.33203125" customWidth="1"/>
    <col min="7" max="7" width="22.1640625" customWidth="1"/>
    <col min="8" max="8" width="18.5" customWidth="1"/>
  </cols>
  <sheetData>
    <row r="1" spans="1:8" x14ac:dyDescent="0.2">
      <c r="A1" t="s">
        <v>26</v>
      </c>
      <c r="B1" t="s">
        <v>27</v>
      </c>
      <c r="C1" t="s">
        <v>10</v>
      </c>
      <c r="D1" t="s">
        <v>28</v>
      </c>
      <c r="E1" t="s">
        <v>29</v>
      </c>
      <c r="F1" t="s">
        <v>30</v>
      </c>
      <c r="G1" t="s">
        <v>45</v>
      </c>
      <c r="H1" t="s">
        <v>46</v>
      </c>
    </row>
    <row r="2" spans="1:8" x14ac:dyDescent="0.2">
      <c r="A2" t="s">
        <v>12</v>
      </c>
      <c r="B2" t="s">
        <v>20</v>
      </c>
      <c r="C2" t="str">
        <f>IFERROR(INDEX(Variable_Map_Wide!$A:$A, MATCH(B2, Variable_Map_Wide!$C:$C, 0)), INDEX(Variable_Map_Wide!$A:$A, MATCH(B2, Variable_Map_Wide!C:C, 0)))</f>
        <v>q01</v>
      </c>
      <c r="D2" t="s">
        <v>31</v>
      </c>
      <c r="E2">
        <v>1</v>
      </c>
      <c r="F2" t="s">
        <v>31</v>
      </c>
      <c r="G2" t="s">
        <v>32</v>
      </c>
      <c r="H2" t="s">
        <v>31</v>
      </c>
    </row>
    <row r="3" spans="1:8" x14ac:dyDescent="0.2">
      <c r="A3" t="s">
        <v>13</v>
      </c>
      <c r="B3" t="s">
        <v>21</v>
      </c>
      <c r="C3" t="str">
        <f>IFERROR(INDEX(Variable_Map_Wide!$A:$A, MATCH(B3, Variable_Map_Wide!$C:$C, 0)), INDEX(Variable_Map_Wide!$A:$A, MATCH(B3, Variable_Map_Wide!D:D, 0)))</f>
        <v>q01</v>
      </c>
      <c r="D3" t="s">
        <v>32</v>
      </c>
      <c r="E3">
        <v>1</v>
      </c>
      <c r="F3" t="s">
        <v>31</v>
      </c>
      <c r="G3" t="s">
        <v>32</v>
      </c>
      <c r="H3" t="s">
        <v>31</v>
      </c>
    </row>
    <row r="4" spans="1:8" x14ac:dyDescent="0.2">
      <c r="A4" t="s">
        <v>14</v>
      </c>
      <c r="B4" t="s">
        <v>22</v>
      </c>
      <c r="C4" t="str">
        <f>IFERROR(INDEX(Variable_Map_Wide!$A:$A, MATCH(B4, Variable_Map_Wide!$C:$C, 0)), INDEX(Variable_Map_Wide!$A:$A, MATCH(B4, Variable_Map_Wide!E:E, 0)))</f>
        <v>q01</v>
      </c>
      <c r="D4" t="s">
        <v>33</v>
      </c>
      <c r="E4">
        <v>1</v>
      </c>
      <c r="F4" t="s">
        <v>31</v>
      </c>
      <c r="G4" t="s">
        <v>32</v>
      </c>
      <c r="H4" t="s">
        <v>31</v>
      </c>
    </row>
    <row r="5" spans="1:8" x14ac:dyDescent="0.2">
      <c r="A5" t="s">
        <v>12</v>
      </c>
      <c r="B5" t="s">
        <v>20</v>
      </c>
      <c r="C5" t="str">
        <f>IFERROR(INDEX(Variable_Map_Wide!$A:$A, MATCH(B5, Variable_Map_Wide!$C:$C, 0)), INDEX(Variable_Map_Wide!$A:$A, MATCH(B5, Variable_Map_Wide!C:C, 0)))</f>
        <v>q01</v>
      </c>
      <c r="D5" t="s">
        <v>34</v>
      </c>
      <c r="E5">
        <v>2</v>
      </c>
      <c r="F5" t="s">
        <v>34</v>
      </c>
      <c r="G5" t="s">
        <v>34</v>
      </c>
      <c r="H5" t="s">
        <v>34</v>
      </c>
    </row>
    <row r="6" spans="1:8" x14ac:dyDescent="0.2">
      <c r="A6" t="s">
        <v>13</v>
      </c>
      <c r="B6" t="s">
        <v>21</v>
      </c>
      <c r="C6" t="str">
        <f>IFERROR(INDEX(Variable_Map_Wide!$A:$A, MATCH(B6, Variable_Map_Wide!$C:$C, 0)), INDEX(Variable_Map_Wide!$A:$A, MATCH(B6, Variable_Map_Wide!D:D, 0)))</f>
        <v>q01</v>
      </c>
      <c r="D6" t="s">
        <v>35</v>
      </c>
      <c r="E6">
        <v>2</v>
      </c>
      <c r="F6" t="s">
        <v>34</v>
      </c>
      <c r="G6" t="s">
        <v>34</v>
      </c>
      <c r="H6" t="s">
        <v>34</v>
      </c>
    </row>
    <row r="7" spans="1:8" x14ac:dyDescent="0.2">
      <c r="A7" t="s">
        <v>14</v>
      </c>
      <c r="B7" t="s">
        <v>22</v>
      </c>
      <c r="C7" t="str">
        <f>IFERROR(INDEX(Variable_Map_Wide!$A:$A, MATCH(B7, Variable_Map_Wide!$C:$C, 0)), INDEX(Variable_Map_Wide!$A:$A, MATCH(B7, Variable_Map_Wide!E:E, 0)))</f>
        <v>q01</v>
      </c>
      <c r="D7" t="s">
        <v>36</v>
      </c>
      <c r="E7">
        <v>2</v>
      </c>
      <c r="F7" t="s">
        <v>34</v>
      </c>
      <c r="G7" t="s">
        <v>34</v>
      </c>
      <c r="H7" t="s">
        <v>34</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heetViews>
  <sheetFormatPr baseColWidth="10" defaultRowHeight="15" x14ac:dyDescent="0.2"/>
  <sheetData>
    <row r="1" spans="1:3" x14ac:dyDescent="0.2">
      <c r="A1" t="s">
        <v>37</v>
      </c>
      <c r="B1" t="s">
        <v>38</v>
      </c>
      <c r="C1" t="s">
        <v>39</v>
      </c>
    </row>
    <row r="2" spans="1:3" x14ac:dyDescent="0.2">
      <c r="A2" t="s">
        <v>40</v>
      </c>
      <c r="B2" t="s">
        <v>41</v>
      </c>
      <c r="C2" t="s">
        <v>42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
  <sheetViews>
    <sheetView workbookViewId="0"/>
  </sheetViews>
  <sheetFormatPr baseColWidth="10" defaultRowHeight="15" x14ac:dyDescent="0.2"/>
  <sheetData>
    <row r="1" spans="1:5" x14ac:dyDescent="0.2">
      <c r="A1" t="s">
        <v>10</v>
      </c>
      <c r="B1" t="s">
        <v>11</v>
      </c>
      <c r="C1" t="s">
        <v>12</v>
      </c>
      <c r="D1" t="s">
        <v>13</v>
      </c>
      <c r="E1" t="s">
        <v>14</v>
      </c>
    </row>
    <row r="2" spans="1:5" x14ac:dyDescent="0.2">
      <c r="A2" t="s">
        <v>15</v>
      </c>
      <c r="C2" t="s">
        <v>16</v>
      </c>
      <c r="D2" t="s">
        <v>17</v>
      </c>
      <c r="E2" t="s">
        <v>18</v>
      </c>
    </row>
    <row r="3" spans="1:5" x14ac:dyDescent="0.2">
      <c r="A3" t="s">
        <v>19</v>
      </c>
      <c r="C3" t="s">
        <v>20</v>
      </c>
      <c r="D3" t="s">
        <v>21</v>
      </c>
      <c r="E3" t="s">
        <v>22</v>
      </c>
    </row>
    <row r="4" spans="1:5" x14ac:dyDescent="0.2">
      <c r="A4" t="s">
        <v>23</v>
      </c>
      <c r="C4" t="s">
        <v>24</v>
      </c>
      <c r="D4" t="s">
        <v>25</v>
      </c>
      <c r="E4" t="s">
        <v>24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Variable_Map_Wide</vt:lpstr>
      <vt:lpstr>Factor_Levels</vt:lpstr>
      <vt:lpstr>Change_Log</vt:lpstr>
      <vt:lpstr>Original_Metadata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dc:creator>
  <cp:lastModifiedBy>Irene Cruz Gomez</cp:lastModifiedBy>
  <dcterms:created xsi:type="dcterms:W3CDTF">2026-03-10T15:36:59Z</dcterms:created>
  <dcterms:modified xsi:type="dcterms:W3CDTF">2026-03-10T18:27:44Z</dcterms:modified>
</cp:coreProperties>
</file>
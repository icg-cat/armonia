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10ago\Documents\0 Analisis Healing Alchemy\3 Estudio VVC27\R_VVC27\"/>
    </mc:Choice>
  </mc:AlternateContent>
  <xr:revisionPtr revIDLastSave="0" documentId="13_ncr:1_{FB7B39F1-379A-4D52-A428-4F638F748B47}" xr6:coauthVersionLast="47" xr6:coauthVersionMax="47" xr10:uidLastSave="{00000000-0000-0000-0000-000000000000}"/>
  <bookViews>
    <workbookView xWindow="-108" yWindow="-108" windowWidth="23256" windowHeight="12456" activeTab="5" xr2:uid="{00000000-000D-0000-FFFF-FFFF00000000}"/>
  </bookViews>
  <sheets>
    <sheet name="Instructions" sheetId="1" r:id="rId1"/>
    <sheet name="Variable_Map_Wide" sheetId="2" r:id="rId2"/>
    <sheet name="Factor_Levels" sheetId="3" r:id="rId3"/>
    <sheet name="Change_Log" sheetId="4" r:id="rId4"/>
    <sheet name="Original_Metadata" sheetId="5" r:id="rId5"/>
    <sheet name="Review_IDs" sheetId="6" r:id="rId6"/>
  </sheets>
  <externalReferences>
    <externalReference r:id="rId7"/>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alcChain>
</file>

<file path=xl/sharedStrings.xml><?xml version="1.0" encoding="utf-8"?>
<sst xmlns="http://schemas.openxmlformats.org/spreadsheetml/2006/main" count="952" uniqueCount="350">
  <si>
    <t>SHEET: Variable_Map_Wide</t>
  </si>
  <si>
    <t xml:space="preserve">On this sheet users can modify the variables to harmonize. You need to review that equivalent variables in data versions are set in the same row and are given the same 'target_name'. 'target_name's can be modified as needed. The order can be changed as well. Variables unwanted in the harmonized data can be dropped (rows removed). A 'version 0' of the initial metadata is saved in the sheet 'Original:Metadata' for traceback purposes. </t>
  </si>
  <si>
    <t>CAUTION: Variables aligned by COLUMN POSITION. Verify that 'orig_w1' and 'orig_w2' actually correspond.</t>
  </si>
  <si>
    <t>NA</t>
  </si>
  <si>
    <t>SHEET: Factor_Levels</t>
  </si>
  <si>
    <t>CAUTION: Column C (target_name) is calculated automatically from target_name in 'Variable_Map_Wide'. Requires Excel 2021/365.</t>
  </si>
  <si>
    <t>LEGACY FIX: If showing #NAME?, replace formula with VLOOKUP, i.e. (european standard):</t>
  </si>
  <si>
    <t>=IFERROR(INDEX('Variable_Map_Wide'!$A:$A; MATCH(B2; 'Variable_Map_Wide'!$C:$C; 0)); INDEX('Variable_Map_Wide'!$A:$A; MATCH(B2; 'Variable_Map_Wide'!$D:$D; 0)))</t>
  </si>
  <si>
    <t>SHEET: Original_Metadata</t>
  </si>
  <si>
    <t xml:space="preserve">This sheet is only meant to leave a registry of the original structure of the data. Not for harmonization purposes. </t>
  </si>
  <si>
    <t>target_name</t>
  </si>
  <si>
    <t>description</t>
  </si>
  <si>
    <t>orig_w1</t>
  </si>
  <si>
    <t>orig_w2</t>
  </si>
  <si>
    <t>var_001</t>
  </si>
  <si>
    <t>marca_temporal</t>
  </si>
  <si>
    <t>var_002</t>
  </si>
  <si>
    <t>direccion_de_correo_electronico</t>
  </si>
  <si>
    <t>var_003</t>
  </si>
  <si>
    <t>follow_up_date_day</t>
  </si>
  <si>
    <t>fecha_del_seguimiento_dia</t>
  </si>
  <si>
    <t>var_004</t>
  </si>
  <si>
    <t>follow_up_date_month</t>
  </si>
  <si>
    <t>fecha_del_seguimiento_mes</t>
  </si>
  <si>
    <t>var_005</t>
  </si>
  <si>
    <t>who_is_your_natural_vision_teacher_or_which_program_are_you_enrolled_in</t>
  </si>
  <si>
    <t>quien_es_tu_profesor_a_de_vision_natural_o_en_que_programa_estas_inscrito_a</t>
  </si>
  <si>
    <t>var_006</t>
  </si>
  <si>
    <t>can_you_read_the_first_row_of_the_arizona_optotype_at_least_at_1_5_meters_or_5_feet</t>
  </si>
  <si>
    <t>puedes_leer_la_primera_fila_del_optotipo_arizona_al_menos_a_1_5_metros_o_5_pies</t>
  </si>
  <si>
    <t>var_007</t>
  </si>
  <si>
    <t>indicate_the_unit_of_measurement_you_will_use</t>
  </si>
  <si>
    <t>indica_la_unidad_de_medida_que_vas_a_usar</t>
  </si>
  <si>
    <t>var_008</t>
  </si>
  <si>
    <t>with_both_eyes_at_the_same_time</t>
  </si>
  <si>
    <t>con_ambos_ojos_al_mismo_tiempo</t>
  </si>
  <si>
    <t>var_009</t>
  </si>
  <si>
    <t>only_with_the_right_eye_cover_your_left_eye_with_your_hand</t>
  </si>
  <si>
    <t>solo_con_el_ojo_derecho_tapa_con_tu_mano_el_ojo_izquierdo</t>
  </si>
  <si>
    <t>var_010</t>
  </si>
  <si>
    <t>only_with_the_left_eye_cover_your_right_eye_with_your_hand</t>
  </si>
  <si>
    <t>solo_con_el_ojo_izquierdo_tapa_con_tu_mano_el_ojo_derecho</t>
  </si>
  <si>
    <t>var_011</t>
  </si>
  <si>
    <t>did_you_have_any_issues_or_comments_with_the_measurements</t>
  </si>
  <si>
    <t>tuviste_algun_problema_o_comentario_con_las_mediciones</t>
  </si>
  <si>
    <t>var_012</t>
  </si>
  <si>
    <t>at_what_distance_have_you_placed_the_arizona_optotype</t>
  </si>
  <si>
    <t>a_que_distancia_has_colocado_el_optotipo_arizona</t>
  </si>
  <si>
    <t>var_013</t>
  </si>
  <si>
    <t>with_both_eyes_at_the_same_time_at_5_feet_or_1_5_meters</t>
  </si>
  <si>
    <t>con_ambos_ojos_al_mismo_tiempo_a_5_pies_o_1_5_metros</t>
  </si>
  <si>
    <t>var_014</t>
  </si>
  <si>
    <t>only_with_the_right_eye_cover_your_left_eye_with_your_hand_at_5_feet_or_1_5_meters</t>
  </si>
  <si>
    <t>solo_con_el_ojo_derecho_tapa_con_tu_mano_el_ojo_izquierdo_a_5_pies_o_1_5_metros</t>
  </si>
  <si>
    <t>var_015</t>
  </si>
  <si>
    <t>only_with_the_left_eye_cover_your_right_eye_with_your_hand_at_5_feet_or_1_5_meters</t>
  </si>
  <si>
    <t>solo_con_el_ojo_izquierdo_tapa_con_tu_mano_el_ojo_derecho_a_5_pies_o_1_5_metros</t>
  </si>
  <si>
    <t>var_016</t>
  </si>
  <si>
    <t>did_you_have_any_issues_or_comments_with_the_measurements_at_5_feet_or_1_5_meters</t>
  </si>
  <si>
    <t>tuviste_algun_problema_o_comentario_con_las_mediciones_a_5_pies_o_1_5_metros</t>
  </si>
  <si>
    <t>var_017</t>
  </si>
  <si>
    <t>with_both_eyes_at_the_same_time_at_10_feet_or_3_meters</t>
  </si>
  <si>
    <t>con_ambos_ojos_al_mismo_tiempo_a_10_pies_o_3_metros</t>
  </si>
  <si>
    <t>var_018</t>
  </si>
  <si>
    <t>only_with_the_right_eye_cover_your_left_eye_with_your_hand_at_10_feet_or_3_meters</t>
  </si>
  <si>
    <t>solo_con_el_ojo_derecho_tapa_con_tu_mano_el_ojo_izquierdo_a_10_pies_o_3_metros</t>
  </si>
  <si>
    <t>var_019</t>
  </si>
  <si>
    <t>only_with_the_left_eye_cover_your_right_eye_with_your_hand_at_10_feet_or_3_meters</t>
  </si>
  <si>
    <t>solo_con_el_ojo_izquierdo_tapa_con_tu_mano_el_ojo_derecho_a_10_pies_o_3_metros</t>
  </si>
  <si>
    <t>var_020</t>
  </si>
  <si>
    <t>did_you_have_any_issues_or_comments_with_the_measurements_at_10_feet_or_3_meters</t>
  </si>
  <si>
    <t>tuviste_algun_problema_o_comentario_con_las_mediciones_a_10_pies_o_3_metros</t>
  </si>
  <si>
    <t>var_021</t>
  </si>
  <si>
    <t>with_both_eyes_at_the_same_time_2</t>
  </si>
  <si>
    <t>con_ambos_ojos_al_mismo_tiempo_2</t>
  </si>
  <si>
    <t>var_022</t>
  </si>
  <si>
    <t>only_with_the_right_eye_cover_your_left_eye_with_your_hand_2</t>
  </si>
  <si>
    <t>solo_con_el_ojo_derecho_tapa_con_tu_mano_el_ojo_izquierdo_2</t>
  </si>
  <si>
    <t>var_023</t>
  </si>
  <si>
    <t>only_with_the_left_eye_cover_your_right_eye_with_your_hand_2</t>
  </si>
  <si>
    <t>solo_con_el_ojo_izquierdo_tapa_con_tu_mano_el_ojo_derecho_2</t>
  </si>
  <si>
    <t>var_024</t>
  </si>
  <si>
    <t>did_you_have_any_issues_or_comments_with_the_near_vision_measurements</t>
  </si>
  <si>
    <t>tuviste_algun_problema_o_comentario_con_las_mediciones_de_la_vista_de_cerca</t>
  </si>
  <si>
    <t>var_025</t>
  </si>
  <si>
    <t>have_you_had_any_sudden_improvement_since_the_last_follow_up</t>
  </si>
  <si>
    <t>has_tenido_alguna_mejoria_puntual_desde_el_ultimo_seguimiento</t>
  </si>
  <si>
    <t>var_026</t>
  </si>
  <si>
    <t>if_the_previous_answer_is_yes_what_do_you_attribute_it_to_sudden_improvement</t>
  </si>
  <si>
    <t>si_la_respuesta_anterior_es_si_a_que_lo_atribuyes_mejoria_puntual</t>
  </si>
  <si>
    <t>var_027</t>
  </si>
  <si>
    <t>have_you_noticed_any_sudden_worsening_in_your_vision_since_the_last_follow_up</t>
  </si>
  <si>
    <t>has_notado_algun_empeoramiento_puntual_en_tu_vision_desde_el_ultimo_seguimiento</t>
  </si>
  <si>
    <t>var_028</t>
  </si>
  <si>
    <t>if_the_previous_answer_is_yes_what_do_you_attribute_it_to_sudden_worsening</t>
  </si>
  <si>
    <t>si_la_respuesta_anterior_es_si_a_que_lo_atribuyes_empeoramiento_puntual</t>
  </si>
  <si>
    <t>var_029</t>
  </si>
  <si>
    <t>what_other_aspects_of_your_vision_do_you_notice_have_improved_since_you_completed_the_last_follow_up_questionnaire</t>
  </si>
  <si>
    <t>que_otros_aspectos_de_la_vista_notas_que_han_mejorado_desde_que_completaste_el_ultimo_cuestionario_de_seguimiento</t>
  </si>
  <si>
    <t>var_030</t>
  </si>
  <si>
    <t>now_from_the_following_list_select_all_the_improvements_you_have_noticed</t>
  </si>
  <si>
    <t>ahora_de_la_siguiente_lista_selecciona_todas_las_mejoras_que_hayas_notado</t>
  </si>
  <si>
    <t>var_031</t>
  </si>
  <si>
    <t>optional_if_you_wear_glasses_has_what_you_can_do_with_or_without_glasses_changed_since_the_last_follow_up_or_has_your_glasses_prescription_changed_we_are_interested_in_knowing_about_your_relationship_with_glasses</t>
  </si>
  <si>
    <t>opcional_si_usas_gafas_ha_cambiado_lo_que_puedes_hacer_con_o_sin_gafas_desde_el_ultimo_seguimiento_o_ha_cambiado_tu_graduacion_nos_interesa_conocer_tu_relacion_con_las_gafas</t>
  </si>
  <si>
    <t>var_032</t>
  </si>
  <si>
    <t>tell_us_have_there_been_changes_in_your_lifestyle_since_you_completed_the_last_follow_up_questionnaire</t>
  </si>
  <si>
    <t>cuentanos_ha_habido_cambios_en_tu_estilo_de_vida_desde_que_completaste_el_ultimo_cuestionario_de_seguimiento</t>
  </si>
  <si>
    <t>var_033</t>
  </si>
  <si>
    <t>select_the_statement_that_best_describes_the_lighting_conditions_during_your_vision_measurement</t>
  </si>
  <si>
    <t>selecciona_la_afirmacion_que_mejor_describe_las_condiciones_de_luz_en_las_que_realizaste_la_medicion_de_tu_vista</t>
  </si>
  <si>
    <t>var_034</t>
  </si>
  <si>
    <t>indicate_how_you_were_feeling_emotionally_before_taking_the_measurement_using_a_scale_from_1_to_5_where</t>
  </si>
  <si>
    <t>indica_como_te_sentias_emocionalmente_antes_de_hacer_la_medicion_usando_una_escala_del_1_al_5_donde</t>
  </si>
  <si>
    <t>var_035</t>
  </si>
  <si>
    <t>optional_express_how_you_felt_before_and_or_after_taking_the_measurement</t>
  </si>
  <si>
    <t>opcional_expresa_como_te_sentias_antes_y_o_despues_de_hacer_la_medicion</t>
  </si>
  <si>
    <t>var_036</t>
  </si>
  <si>
    <t>have_you_had_the_opportunity_to_apply_or_practice_anything_taught_in_the_course_since_you_completed_the_last_follow_up_questionnaire</t>
  </si>
  <si>
    <t>has_tenido_la_oportunidad_de_aplicar_o_de_practicar_algo_de_lo_que_se_ensena_en_el_curso_desde_que_completaste_el_ultimo_cuestionario_de_seguimiento</t>
  </si>
  <si>
    <t>var_037</t>
  </si>
  <si>
    <t>tell_us_what_have_you_practiced_or_applied_since_you_completed_the_last_follow_up_questionnaire_also_let_us_know_how_often_and_for_how_long_you_have_done_each_practice_approximately</t>
  </si>
  <si>
    <t>cuentanos_que_has_practicado_o_aplicado_desde_el_ultimo_seguimiento_cuentanos_tambien_con_que_frecuencia_y_durante_cuanto_tiempo_has_hecho_cada_practica_aproximadamente</t>
  </si>
  <si>
    <t>var_038</t>
  </si>
  <si>
    <t>tell_us_what_has_prevented_you_from_practicing_since_you_completed_the_last_follow_up_questionnaire</t>
  </si>
  <si>
    <t>cuentanos_que_te_ha_impedido_practicar_desde_el_ultimo_seguimiento</t>
  </si>
  <si>
    <t>var_039</t>
  </si>
  <si>
    <t>first_name</t>
  </si>
  <si>
    <t>nombre_de_pila</t>
  </si>
  <si>
    <t>var_040</t>
  </si>
  <si>
    <t>please_confirm_your_email_address</t>
  </si>
  <si>
    <t>por_favor_confirma_tu_email</t>
  </si>
  <si>
    <t>var_041</t>
  </si>
  <si>
    <t>do_you_have_any_additional_comments_suggestions_or_observations_you_d_like_to_share</t>
  </si>
  <si>
    <t>tienes_algun_comentario_adicional_sugerencia_u_observacion_que_quieras_compartir</t>
  </si>
  <si>
    <t>wave</t>
  </si>
  <si>
    <t>original_variable</t>
  </si>
  <si>
    <t>original_level</t>
  </si>
  <si>
    <t>standard_code</t>
  </si>
  <si>
    <t>standard_label</t>
  </si>
  <si>
    <t>April</t>
  </si>
  <si>
    <t>Abril</t>
  </si>
  <si>
    <t>December</t>
  </si>
  <si>
    <t>Agosto</t>
  </si>
  <si>
    <t>February</t>
  </si>
  <si>
    <t>Diciembre</t>
  </si>
  <si>
    <t>January</t>
  </si>
  <si>
    <t>Febrero</t>
  </si>
  <si>
    <t>March</t>
  </si>
  <si>
    <t>Marzo</t>
  </si>
  <si>
    <t>May</t>
  </si>
  <si>
    <t>Septiembre</t>
  </si>
  <si>
    <t>November</t>
  </si>
  <si>
    <t>Ainhoa de Federico - Clear Sight Method</t>
  </si>
  <si>
    <t>Ainhoa de Federico - Método Volver a Ver Claro</t>
  </si>
  <si>
    <t>Claudia Muehlenweg - Naturally Clear Vision</t>
  </si>
  <si>
    <t>Nathan Oxenfeld - Holistic Vision Program</t>
  </si>
  <si>
    <t>No</t>
  </si>
  <si>
    <t>Yes</t>
  </si>
  <si>
    <t>Sí</t>
  </si>
  <si>
    <t>Centimeters</t>
  </si>
  <si>
    <t>Centímetros</t>
  </si>
  <si>
    <t>Inches</t>
  </si>
  <si>
    <t>At 1.5 meters or 5 feet</t>
  </si>
  <si>
    <t>A 1,5 metros o 5 pies</t>
  </si>
  <si>
    <t>At 3 meters or 10 feet</t>
  </si>
  <si>
    <t>A 3 metros o 10 pies</t>
  </si>
  <si>
    <t>Combination of natural and artificial light in good conditions</t>
  </si>
  <si>
    <t>Buena iluminación artificial (suficiente y uniforme)</t>
  </si>
  <si>
    <t>Good artificial lighting (sufficient and even)</t>
  </si>
  <si>
    <t>Buena iluminación natural (suficiente y uniforme)</t>
  </si>
  <si>
    <t>Good natural lighting (sufficient and even)</t>
  </si>
  <si>
    <t>Combinación de luz natural y artificial en buenas condiciones</t>
  </si>
  <si>
    <t>Irregular or insufficient lighting (natural, artificial, or combined)</t>
  </si>
  <si>
    <t>Iluminación irregular o insuficiente (natural, artificial o combinada)</t>
  </si>
  <si>
    <t>Poor lighting conditions (dim, unstable, or with pronounced shadows, whether natural, artificial, or combined)</t>
  </si>
  <si>
    <t>Malas condiciones de luz (débil, inestable o con sombras pronunciadas, ya sea natural, artificial o combinada)</t>
  </si>
  <si>
    <t>I haven't had the opportunity</t>
  </si>
  <si>
    <t>No he tenido la oportunidad</t>
  </si>
  <si>
    <t>timestamp</t>
  </si>
  <si>
    <t>action</t>
  </si>
  <si>
    <t>match_strategy</t>
  </si>
  <si>
    <t>2026-03-10 15:55:46.991995</t>
  </si>
  <si>
    <t>INIT</t>
  </si>
  <si>
    <t>position</t>
  </si>
  <si>
    <t>program</t>
  </si>
  <si>
    <t>Programa de Visión Natural</t>
  </si>
  <si>
    <t>Confirmación de correo electrónico</t>
  </si>
  <si>
    <t>email</t>
  </si>
  <si>
    <t>name</t>
  </si>
  <si>
    <t>Nombre de pila</t>
  </si>
  <si>
    <t>id</t>
  </si>
  <si>
    <t>date_measure_day</t>
  </si>
  <si>
    <t>date_measure_month</t>
  </si>
  <si>
    <t>arizona_routing</t>
  </si>
  <si>
    <t>arizona_unit</t>
  </si>
  <si>
    <t>arizona_0_notes</t>
  </si>
  <si>
    <t>arizona_distance</t>
  </si>
  <si>
    <t>arizona_5_notes</t>
  </si>
  <si>
    <t>arizona_10_notes</t>
  </si>
  <si>
    <t>sudden_improve</t>
  </si>
  <si>
    <t>sudden_improve_why</t>
  </si>
  <si>
    <t>sudden_worsen</t>
  </si>
  <si>
    <t>sudden_worsen_why</t>
  </si>
  <si>
    <t>lightning_conditions</t>
  </si>
  <si>
    <t>emotional_state</t>
  </si>
  <si>
    <t>emotional_state_notes</t>
  </si>
  <si>
    <t>practice_dummy</t>
  </si>
  <si>
    <t>practice</t>
  </si>
  <si>
    <t>not_practice</t>
  </si>
  <si>
    <t>comments</t>
  </si>
  <si>
    <t>Marca temporal</t>
  </si>
  <si>
    <t>Dirección de correo electrónico (capturada por Google Forms)</t>
  </si>
  <si>
    <t>Fecha de la medición: DÍA</t>
  </si>
  <si>
    <t>Fecha de la medición: MES</t>
  </si>
  <si>
    <t>¿Puede leer la primera fila del Optotipo Arizona al menos a 1,5 metros o 5 pies?</t>
  </si>
  <si>
    <t>Unidad de medida para la medición con el Optotipo Arizona</t>
  </si>
  <si>
    <t>Optotipo Arizona: ambos ojos, distancia mínima</t>
  </si>
  <si>
    <t>Optotipo Arizona: ojo derecho, distancia mínima</t>
  </si>
  <si>
    <t>Optotipo Arizona: ojo izquierdo, distancia mínima</t>
  </si>
  <si>
    <t>Distancia a la que se ha colocado el Optotipo Arizona</t>
  </si>
  <si>
    <t>Optotipo Arizona: ambos ojos a 5 pies / 1,5 metros</t>
  </si>
  <si>
    <t>Optotipo Arizona: ojo derecho a 5 pies / 1,5 metros</t>
  </si>
  <si>
    <t>Optotipo Arizona: ojo izquierdo a 5 pies / 1,5 metros</t>
  </si>
  <si>
    <t>Comentarios sobre la medición a 5 pies / 1,5 metros</t>
  </si>
  <si>
    <t>Optotipo Arizona: ambos ojos a 10 pies / 3 metros</t>
  </si>
  <si>
    <t>Optotipo Arizona: ojo derecho a 10 pies / 3 metros</t>
  </si>
  <si>
    <t>Optotipo Arizona: ojo izquierdo a 10 pies / 3 metros</t>
  </si>
  <si>
    <t>Comentarios sobre la medición a 10 pies / 3 metros</t>
  </si>
  <si>
    <t>Optotipo micro: ambos ojos, tamaño mínimo de letra legible</t>
  </si>
  <si>
    <t>Optotipo micro: ojo derecho, tamaño mínimo de letra legible</t>
  </si>
  <si>
    <t>Optotipo micro: ojo izquierdo, tamaño mínimo de letra legible</t>
  </si>
  <si>
    <t>Comentarios sobre la medición de vista de cerca</t>
  </si>
  <si>
    <t>¿Ha tenido alguna mejoría puntual desde el último seguimiento?</t>
  </si>
  <si>
    <t>¿A qué atribuye la mejoría puntual?</t>
  </si>
  <si>
    <t>¿Ha notado algún empeoramiento puntual desde el último seguimiento?</t>
  </si>
  <si>
    <t>¿A qué atribuye el empeoramiento puntual?</t>
  </si>
  <si>
    <t>Otros aspectos de la vista que han mejorado desde el último seguimiento</t>
  </si>
  <si>
    <t>Lista de mejoras notadas desde el último seguimiento</t>
  </si>
  <si>
    <t>Cambios en la relación con las gafas desde el último seguimiento</t>
  </si>
  <si>
    <t>Cambios en el estilo de vida desde el último seguimiento</t>
  </si>
  <si>
    <t>Condiciones de luz durante la medición de la vista</t>
  </si>
  <si>
    <t>Estado emocional antes de la medición (escala 1-5)</t>
  </si>
  <si>
    <t>Expresión libre del estado emocional antes y/o después de la medición</t>
  </si>
  <si>
    <t>¿Ha tenido oportunidad de practicar desde el último seguimiento?</t>
  </si>
  <si>
    <t>Descripción de la práctica realizada desde el último seguimiento</t>
  </si>
  <si>
    <t>¿Qué ha impedido practicar desde el último seguimiento?</t>
  </si>
  <si>
    <t>Comentarios adicionales</t>
  </si>
  <si>
    <t>changes_vision</t>
  </si>
  <si>
    <t>changes_vision_list</t>
  </si>
  <si>
    <t>changes_glasses</t>
  </si>
  <si>
    <t>changes_lifestyle</t>
  </si>
  <si>
    <t>micro_chaplin_notes</t>
  </si>
  <si>
    <t>Pulgadas</t>
  </si>
  <si>
    <t>Enero</t>
  </si>
  <si>
    <t>Mayo</t>
  </si>
  <si>
    <t>Noviembre</t>
  </si>
  <si>
    <t>Optotipo Artizona: comentarios sobre la medición a distancia mínima</t>
  </si>
  <si>
    <t>arizona_0_be</t>
  </si>
  <si>
    <t>arizona_0_re</t>
  </si>
  <si>
    <t>arizona_0_le</t>
  </si>
  <si>
    <t>arizona_5_be</t>
  </si>
  <si>
    <t>arizona_5_re</t>
  </si>
  <si>
    <t>arizona_5_le</t>
  </si>
  <si>
    <t>arizona_10_be</t>
  </si>
  <si>
    <t>arizona_10_re</t>
  </si>
  <si>
    <t>arizona_10_le</t>
  </si>
  <si>
    <t>micro_chaplin_be</t>
  </si>
  <si>
    <t>micro_chaplin_re</t>
  </si>
  <si>
    <t>micro_chaplin_le</t>
  </si>
  <si>
    <t>index</t>
  </si>
  <si>
    <t>w2id</t>
  </si>
  <si>
    <t>best_match</t>
  </si>
  <si>
    <t>all_equal</t>
  </si>
  <si>
    <t>gloriakower@gmail.com</t>
  </si>
  <si>
    <t>no best match found</t>
  </si>
  <si>
    <t>onancyochoa@hotmail.com</t>
  </si>
  <si>
    <t>yazminreyesor@gmail.com</t>
  </si>
  <si>
    <t>vir.itaca@gmail.com</t>
  </si>
  <si>
    <t>lfragoso578@gmail.com</t>
  </si>
  <si>
    <t>smoralesca@gmail.com</t>
  </si>
  <si>
    <t>menlage@gmail.com</t>
  </si>
  <si>
    <t>belortondo@gmail.com</t>
  </si>
  <si>
    <t>crosbar5@hotmail.com</t>
  </si>
  <si>
    <t>joaquincarrascosa@gmail.com</t>
  </si>
  <si>
    <t>josepd19@gmail.com</t>
  </si>
  <si>
    <t>trtzm@yahoo.com</t>
  </si>
  <si>
    <t>ntiruba@gmail.com</t>
  </si>
  <si>
    <t>aabril77@gmail.com</t>
  </si>
  <si>
    <t>anapa17@hotmail.com</t>
  </si>
  <si>
    <t>gitana1123@gmail.com</t>
  </si>
  <si>
    <t>irasema.vilchis@gmail.com</t>
  </si>
  <si>
    <t>janett.rosero@gmail.com</t>
  </si>
  <si>
    <t>jcarmelota@gmail.com</t>
  </si>
  <si>
    <t>nieves.garcia.blue@gmail.com</t>
  </si>
  <si>
    <t>sakinamg@msn.com</t>
  </si>
  <si>
    <t>arq.carloshugopacheco@gmail.com</t>
  </si>
  <si>
    <t>assui1952@gmail.com</t>
  </si>
  <si>
    <t>cjimenezdc@gmail.com</t>
  </si>
  <si>
    <t>ileanandres2016@gmail.com</t>
  </si>
  <si>
    <t>itaca85@gmail.com</t>
  </si>
  <si>
    <t>mariafernandasanchez69@gmail.com</t>
  </si>
  <si>
    <t>jorgelina.i.mella@gmail.com</t>
  </si>
  <si>
    <t>aottenb@gmail.com</t>
  </si>
  <si>
    <t>jcaralto@gmail.com</t>
  </si>
  <si>
    <t>mar1000vel@hotmail.com</t>
  </si>
  <si>
    <t>mariaadrianar@yahoo.com.ar</t>
  </si>
  <si>
    <t>porlacuentaquemetrae@gmail.com</t>
  </si>
  <si>
    <t>susanamelano.59@gmail.com</t>
  </si>
  <si>
    <t>chibcha79@aol.com</t>
  </si>
  <si>
    <t>carlos.sotelo.lopez@gmail.com</t>
  </si>
  <si>
    <t>chibcha79@gmail.com</t>
  </si>
  <si>
    <t>mariafernandasan69@gmail.com</t>
  </si>
  <si>
    <t>mcosta27@xtec.cat</t>
  </si>
  <si>
    <t>safupe@gmail.com</t>
  </si>
  <si>
    <t>vicentepalones91@gmail.com</t>
  </si>
  <si>
    <t>dianalopez02@gmail.com</t>
  </si>
  <si>
    <t>jordyrc79@gmail.com</t>
  </si>
  <si>
    <t>chibcha79@gmal.com</t>
  </si>
  <si>
    <t>clauatencio64@gmail.com</t>
  </si>
  <si>
    <t>olgapatriciarestrepogonzalez@gmail.com</t>
  </si>
  <si>
    <t>silviainvers@gmail.com</t>
  </si>
  <si>
    <t>caroayala2000@hotmail.com</t>
  </si>
  <si>
    <t>chevoletarl@gmail.com</t>
  </si>
  <si>
    <t>merchedr1967@hotmail.com</t>
  </si>
  <si>
    <t>crigty@gmail.com</t>
  </si>
  <si>
    <t>katsumiyuen@gmail.com</t>
  </si>
  <si>
    <t>manuelagase61@gmail.com</t>
  </si>
  <si>
    <t>Claudi418@gmail.com</t>
  </si>
  <si>
    <t>saraarrieta123@gmail.com</t>
  </si>
  <si>
    <t>fypickleball@gmail.com</t>
  </si>
  <si>
    <t>sony.patty1@gmail.com</t>
  </si>
  <si>
    <t>ariesluna07@hotmail.com</t>
  </si>
  <si>
    <t>dr.reynosotapia@gmail.com</t>
  </si>
  <si>
    <t>nieves5fn@gmail.com</t>
  </si>
  <si>
    <t>piazud@gmail.com</t>
  </si>
  <si>
    <t>estherperera@hotmail.com</t>
  </si>
  <si>
    <t>prueba2@prueba2.com</t>
  </si>
  <si>
    <t>mtpadilla25@hotmail.com</t>
  </si>
  <si>
    <t>r.i.garbe@hotmail.com</t>
  </si>
  <si>
    <t>marinacaicedo@yahoo.com</t>
  </si>
  <si>
    <t>danielsalazarlopez@gmail.com</t>
  </si>
  <si>
    <t>cpatriciaea@gmail.com</t>
  </si>
  <si>
    <t>mbelenglz@yahoo.es</t>
  </si>
  <si>
    <t>inganaya7377@gmail.com</t>
  </si>
  <si>
    <t>amandamandi83@gmail.com</t>
  </si>
  <si>
    <t>ruty2301@gmail.com</t>
  </si>
  <si>
    <t>silviamateoa@gmail.com</t>
  </si>
  <si>
    <t>bodavalenymari@gmail.com</t>
  </si>
  <si>
    <t>verenamariaf@gmail.com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</si>
</sst>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scheme val="minor"/>
    </font>
    <font>
      <b/>
      <sz val="11"/>
      <color rgb="FF000000"/>
      <name val="Calibri"/>
    </font>
    <font>
      <b/>
      <sz val="11"/>
      <color rgb="FF002060"/>
      <name val="Calibri"/>
      <family val="2"/>
      <scheme val="minor"/>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rgb="FF000000"/>
      </bottom>
      <diagonal/>
    </border>
  </borders>
  <cellStyleXfs count="1">
    <xf numFmtId="0" fontId="0" fillId="0" borderId="0"/>
  </cellStyleXfs>
  <cellXfs count="4">
    <xf numFmtId="0" fontId="0" fillId="0" borderId="0" xfId="0"/>
    <xf numFmtId="0" fontId="1" fillId="0" borderId="1" xfId="0" applyFont="1" applyBorder="1"/>
    <xf numFmtId="0" fontId="2"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10ago\Documents\0%20Analisis%20Healing%20Alchemy\3%20Estudio%20VVC27\R_VVC27\dictionary_pre_vvc27_es_en.xlsx" TargetMode="External"/><Relationship Id="rId1" Type="http://schemas.openxmlformats.org/officeDocument/2006/relationships/externalLinkPath" Target="dictionary_pre_vvc27_es_e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Variable_Map_Wide"/>
      <sheetName val="Factor_Levels"/>
      <sheetName val="Change_Log"/>
      <sheetName val="Original_Metadata"/>
    </sheetNames>
    <sheetDataSet>
      <sheetData sheetId="0"/>
      <sheetData sheetId="1">
        <row r="1">
          <cell r="A1" t="str">
            <v>target_name</v>
          </cell>
          <cell r="D1" t="str">
            <v>orig_w2</v>
          </cell>
        </row>
        <row r="2">
          <cell r="A2" t="str">
            <v>time_stamp</v>
          </cell>
          <cell r="D2" t="str">
            <v>marca_temporal</v>
          </cell>
        </row>
        <row r="3">
          <cell r="A3" t="str">
            <v>program</v>
          </cell>
          <cell r="D3" t="str">
            <v>quien_es_tu_profesor_a_de_vision_natural_o_en_que_programa_estas_inscrito_a</v>
          </cell>
        </row>
        <row r="4">
          <cell r="A4" t="str">
            <v>date_start_month</v>
          </cell>
          <cell r="D4" t="str">
            <v>fecha_de_inicio_mes</v>
          </cell>
        </row>
        <row r="5">
          <cell r="A5" t="str">
            <v>date_start_year</v>
          </cell>
          <cell r="D5" t="str">
            <v>fecha_de_inicio_ano</v>
          </cell>
        </row>
        <row r="6">
          <cell r="A6" t="str">
            <v>m_motiv</v>
          </cell>
          <cell r="D6" t="str">
            <v>cuentanos_que_te_motivo_a_apuntarte_a_este_programa_curso_practica</v>
          </cell>
        </row>
        <row r="7">
          <cell r="A7" t="str">
            <v>m_expect</v>
          </cell>
          <cell r="D7" t="str">
            <v>que_expectativas_tienes_en_relacion_con_este_programa_curso_practica</v>
          </cell>
        </row>
        <row r="8">
          <cell r="A8" t="str">
            <v>m_previous</v>
          </cell>
          <cell r="D8" t="str">
            <v>has_practicado_vision_natural_antes_de_este_programa_curso_practica</v>
          </cell>
        </row>
        <row r="9">
          <cell r="A9" t="str">
            <v>m_previous_when</v>
          </cell>
          <cell r="D9" t="str">
            <v>cuando_tuvo_lugar_tu_practica_anterior_de_vision_natural_y_cuanto_duro</v>
          </cell>
        </row>
        <row r="10">
          <cell r="A10" t="str">
            <v>m_previous_chg</v>
          </cell>
          <cell r="D10" t="str">
            <v>notaste_algun_cambio_en_tu_vision_durante_ese_tiempo</v>
          </cell>
        </row>
        <row r="11">
          <cell r="A11" t="str">
            <v>g_use</v>
          </cell>
          <cell r="D11" t="str">
            <v>usas_gafas_o_lentes_de_contacto</v>
          </cell>
        </row>
        <row r="12">
          <cell r="A12" t="str">
            <v>g_without</v>
          </cell>
          <cell r="D12" t="str">
            <v>tienes_dificultad_para_ver_claro_sin_utilizar_tus_gafas_o_lentillas</v>
          </cell>
        </row>
        <row r="13">
          <cell r="A13" t="str">
            <v>g_purpose</v>
          </cell>
          <cell r="D13" t="str">
            <v>para_que_usas_tus_gafas_o_lentes_de_contacto_principalmente_para_lejos_para_cerca_o_para_ambas</v>
          </cell>
        </row>
        <row r="14">
          <cell r="A14" t="str">
            <v>g_with</v>
          </cell>
          <cell r="D14" t="str">
            <v>tienes_dificultad_para_ver_mientras_usas_tus_gafas_o_lentes_de_contacto</v>
          </cell>
        </row>
        <row r="15">
          <cell r="A15" t="str">
            <v>g_type</v>
          </cell>
          <cell r="D15" t="str">
            <v>que_tipo_de_gafas_lentes_usas_actualmente</v>
          </cell>
        </row>
        <row r="16">
          <cell r="A16" t="str">
            <v>g_reduced</v>
          </cell>
          <cell r="D16" t="str">
            <v>alguna_vez_has_usado_gafas_con_menos_graduacion_a_proposito_de_la_que_te_recetaron</v>
          </cell>
        </row>
        <row r="17">
          <cell r="A17" t="str">
            <v>v_eyes</v>
          </cell>
          <cell r="D17" t="str">
            <v>cuentanos_como_sientes_los_ojos_habitualmente</v>
          </cell>
        </row>
        <row r="18">
          <cell r="A18" t="str">
            <v>v_far</v>
          </cell>
          <cell r="D18" t="str">
            <v>como_sientes_tu_vista_de_lejos</v>
          </cell>
        </row>
        <row r="19">
          <cell r="A19" t="str">
            <v>v_near</v>
          </cell>
          <cell r="D19" t="str">
            <v>como_sientes_tu_vista_de_cerca</v>
          </cell>
        </row>
        <row r="20">
          <cell r="A20" t="str">
            <v>v_focus_chg</v>
          </cell>
          <cell r="D20" t="str">
            <v>te_cuesta_trabajo_enfocar_cuando_cambias_de_distancia</v>
          </cell>
        </row>
        <row r="21">
          <cell r="A21" t="str">
            <v>v_refocus</v>
          </cell>
          <cell r="D21" t="str">
            <v>despues_de_leer_o_trabajar_de_cerca_durante_un_rato_puedes_ver_con_claridad_cuando_miras_a_lo_lejos_y_viceversa_despues_de_mirar_objetos_lejanos_puedes_reenfocar_facilmente_en_tareas_de_cerca</v>
          </cell>
        </row>
        <row r="22">
          <cell r="A22" t="str">
            <v>v_sudden_dec</v>
          </cell>
          <cell r="D22" t="str">
            <v>alguna_vez_has_experimentado_una_disminucion_repentina_de_tu_vision_si_es_asi_explica_como_fue_tu_experiencia</v>
          </cell>
        </row>
        <row r="23">
          <cell r="A23" t="str">
            <v>v_sudden_imp</v>
          </cell>
          <cell r="D23" t="str">
            <v>alguna_vez_has_experimentado_una_mejora_repentina_en_tu_vision_si_es_asi_explica_como_fue_tu_experiencia</v>
          </cell>
        </row>
        <row r="24">
          <cell r="A24" t="str">
            <v>v_daytime_chg</v>
          </cell>
          <cell r="D24" t="str">
            <v>hay_momentos_del_dia_en_los_que_sientes_que_tu_vista_cambia</v>
          </cell>
        </row>
        <row r="25">
          <cell r="A25" t="str">
            <v>v_screen</v>
          </cell>
          <cell r="D25" t="str">
            <v>como_sientes_los_ojos_y_tu_vista_despues_de_mucho_tiempo_frente_a_una_pantalla</v>
          </cell>
        </row>
        <row r="26">
          <cell r="A26" t="str">
            <v>v_dx_open</v>
          </cell>
          <cell r="D26" t="str">
            <v>alguna_vez_te_han_diagnosticado_alguna_condicion_ocular_por_un_profesional_de_la_salud_si_es_asi_por_favor_cuentanos_sobre_tu_experiencia_con_tus_propias_palabras</v>
          </cell>
        </row>
        <row r="27">
          <cell r="A27" t="str">
            <v>v_dx_multiple</v>
          </cell>
          <cell r="D27" t="str">
            <v>alguna_vez_te_han_diagnosticado_alguno_de_los_siguientes_sintomas</v>
          </cell>
        </row>
        <row r="28">
          <cell r="A28" t="str">
            <v>v_surgery</v>
          </cell>
          <cell r="D28" t="str">
            <v>alguna_vez_te_han_operado_de_los_ojos_has_recibido_algun_tratamiento_como_gotas_para_los_ojos_terapia_con_laser_u_otros</v>
          </cell>
        </row>
        <row r="29">
          <cell r="A29" t="str">
            <v>v_light</v>
          </cell>
          <cell r="D29" t="str">
            <v>percibes_algun_cambio_en_tu_vista_o_en_tus_ojos_cuando_cambian_las_condiciones_de_luz</v>
          </cell>
        </row>
        <row r="30">
          <cell r="A30" t="str">
            <v>objective</v>
          </cell>
          <cell r="D30" t="str">
            <v>ahora_que_has_reflexionado_profundamente_sobre_el_estado_actual_de_tu_vision_que_objetivo_s_especifico_s_te_gustaria_alcanzar_con_este_curso_programa_practica</v>
          </cell>
        </row>
        <row r="31">
          <cell r="A31" t="str">
            <v>pan_time_near</v>
          </cell>
          <cell r="D31" t="str">
            <v>en_un_dia_tipico_cuanto_tiempo_pasas_usando_pantallas_para_actividades_de_cerca_ordenador_smartphone_tablet_para_uso_personal</v>
          </cell>
        </row>
        <row r="32">
          <cell r="A32" t="str">
            <v>pan_time_tv</v>
          </cell>
          <cell r="D32" t="str">
            <v>en_un_dia_tipico_cuanto_tiempo_pasas_viendo_la_television</v>
          </cell>
        </row>
        <row r="33">
          <cell r="A33" t="str">
            <v>pan_time_phone</v>
          </cell>
          <cell r="D33" t="str">
            <v>con_que_frecuencia_usas_tu_smartphone_o_tablet_para_actividades_personales_como_redes_sociales_mensajeria_o_navegar_por_internet</v>
          </cell>
        </row>
        <row r="34">
          <cell r="A34" t="str">
            <v>pan_essential</v>
          </cell>
          <cell r="D34" t="str">
            <v>consideras_que_tu_telefono_movil_o_tablet_es_imprescindible_en_tu_vida_diaria</v>
          </cell>
        </row>
        <row r="35">
          <cell r="A35" t="str">
            <v>pan_relation</v>
          </cell>
          <cell r="D35" t="str">
            <v>como_describirias_tu_relacion_con_las_pantallas_en_general</v>
          </cell>
        </row>
        <row r="36">
          <cell r="A36" t="str">
            <v>pan_eyes_feel</v>
          </cell>
          <cell r="D36" t="str">
            <v>como_se_sienten_tus_ojos_y_tu_vision_durante_o_despues_de_usar_pantallas</v>
          </cell>
        </row>
        <row r="37">
          <cell r="A37" t="str">
            <v>fatigue</v>
          </cell>
          <cell r="D37" t="str">
            <v>el_uso_prolongado_de_pantallas_o_actividades_relacionadas_con_la_vision_como_leer_escribir_etc_te_causa_tension_o_fatiga_ocular</v>
          </cell>
        </row>
        <row r="38">
          <cell r="A38" t="str">
            <v>outdoors</v>
          </cell>
          <cell r="D38" t="str">
            <v>cuanto_tiempo_pasas_al_aire_libre_en_un_dia_tipico</v>
          </cell>
        </row>
        <row r="39">
          <cell r="A39" t="str">
            <v>phys_act</v>
          </cell>
          <cell r="D39" t="str">
            <v>realizas_alguna_actividad_fisica_o_deporte_de_manera_regular</v>
          </cell>
        </row>
        <row r="40">
          <cell r="A40" t="str">
            <v>art_act</v>
          </cell>
          <cell r="D40" t="str">
            <v>realizas_alguna_actividad_artistica_o_creativa_de_manera_regular</v>
          </cell>
        </row>
        <row r="41">
          <cell r="A41" t="str">
            <v>selfcare</v>
          </cell>
          <cell r="D41" t="str">
            <v>realizas_alguna_actividad_de_autocuidado_o_bienestar_de_manera_regular</v>
          </cell>
        </row>
        <row r="42">
          <cell r="A42" t="str">
            <v>diet</v>
          </cell>
          <cell r="D42" t="str">
            <v>como_describirias_tu_tipo_de_alimentacion_sigues_algun_tipo_de_dieta_especifica_utilizas_algun_tipo_de_suplemento_como_vitaminas_minerales_o_proteinas</v>
          </cell>
        </row>
        <row r="43">
          <cell r="A43" t="str">
            <v>sleep</v>
          </cell>
          <cell r="D43" t="str">
            <v>como_describirias_la_calidad_de_tu_sueno_por_ejemplo_te_resulta_facil_conciliarlo_es_profundo_o_te_despiertas_con_frecuencia_cuantas_horas_sueles_dormir_cada_noche</v>
          </cell>
        </row>
        <row r="44">
          <cell r="A44" t="str">
            <v>gender</v>
          </cell>
          <cell r="D44" t="str">
            <v>por_favor_indica_si_eres</v>
          </cell>
        </row>
        <row r="45">
          <cell r="A45" t="str">
            <v>birth_month</v>
          </cell>
          <cell r="D45" t="str">
            <v>fecha_de_nacimiento_mes</v>
          </cell>
        </row>
        <row r="46">
          <cell r="A46" t="str">
            <v>birth_year</v>
          </cell>
          <cell r="D46" t="str">
            <v>fecha_de_nacimiento_ano</v>
          </cell>
        </row>
        <row r="47">
          <cell r="A47" t="str">
            <v>studies</v>
          </cell>
          <cell r="D47" t="str">
            <v>indica_tu_nivel_de_estudios_maximo_alcanzado</v>
          </cell>
        </row>
        <row r="48">
          <cell r="A48" t="str">
            <v>nationality</v>
          </cell>
          <cell r="D48" t="str">
            <v>nacionalidad</v>
          </cell>
        </row>
        <row r="49">
          <cell r="A49" t="str">
            <v>country</v>
          </cell>
          <cell r="D49" t="str">
            <v>pais_de_residencia_habitual</v>
          </cell>
        </row>
        <row r="50">
          <cell r="A50" t="str">
            <v>living_sit</v>
          </cell>
          <cell r="D50" t="str">
            <v>convives_con</v>
          </cell>
        </row>
        <row r="51">
          <cell r="A51" t="str">
            <v>employment</v>
          </cell>
          <cell r="D51" t="str">
            <v>en_que_situacion_laboral_te_encuentras_actualmente</v>
          </cell>
        </row>
        <row r="52">
          <cell r="A52" t="str">
            <v>work_setting</v>
          </cell>
          <cell r="D52" t="str">
            <v>tu_trabajo_actual_o_ultimo_se_realiza_principalmente_en_el_interior_o_en_el_exterior</v>
          </cell>
        </row>
        <row r="53">
          <cell r="A53" t="str">
            <v>work_screens</v>
          </cell>
          <cell r="D53" t="str">
            <v>cuanto_tiempo_requiere_tu_trabajo_actual_o_mas_reciente_que_uses_pantallas_ordenador_tablet_smartphone_etc</v>
          </cell>
        </row>
        <row r="54">
          <cell r="A54" t="str">
            <v>city_size</v>
          </cell>
          <cell r="D54" t="str">
            <v>cual_es_el_tamano_de_la_poblacion_en_la_que_vives</v>
          </cell>
        </row>
        <row r="55">
          <cell r="A55" t="str">
            <v>health</v>
          </cell>
          <cell r="D55" t="str">
            <v>como_es_tu_estado_de_salud_en_general_dirias_que_es</v>
          </cell>
        </row>
        <row r="56">
          <cell r="A56" t="str">
            <v>stress</v>
          </cell>
          <cell r="D56" t="str">
            <v>como_describirias_tu_nivel_de_estres_general</v>
          </cell>
        </row>
        <row r="57">
          <cell r="A57" t="str">
            <v>stress_eyes</v>
          </cell>
          <cell r="D57" t="str">
            <v>sientes_que_el_estres_afecta_a_tus_ojos_o_a_tu_vision</v>
          </cell>
        </row>
        <row r="58">
          <cell r="A58" t="str">
            <v>spirituality</v>
          </cell>
          <cell r="D58" t="str">
            <v>indica_tu_grado_de_acuerdo_o_desacuerdo_con_la_siguiente_afirmacion_para_mi_la_espiritualidad_es_una_parte_importante_de_mi_vida</v>
          </cell>
        </row>
        <row r="59">
          <cell r="A59" t="str">
            <v>science</v>
          </cell>
          <cell r="D59" t="str">
            <v>indica_tu_grado_de_acuerdo_o_desacuerdo_con_la_siguiente_afirmacion_confio_en_que_las_ideas_respaldadas_por_la_comunidad_cientifica_son_siempre_verdad</v>
          </cell>
        </row>
        <row r="60">
          <cell r="A60" t="str">
            <v>finance</v>
          </cell>
          <cell r="D60" t="str">
            <v>como_consideras_tu_situacion_economica_personal_en_la_actualidad</v>
          </cell>
        </row>
        <row r="61">
          <cell r="A61" t="str">
            <v>name</v>
          </cell>
          <cell r="D61" t="str">
            <v>nombre_de_pila</v>
          </cell>
        </row>
        <row r="62">
          <cell r="A62" t="str">
            <v>email</v>
          </cell>
          <cell r="D62" t="str">
            <v>por_favor_confirma_tu_email</v>
          </cell>
        </row>
        <row r="63">
          <cell r="A63" t="str">
            <v>contact</v>
          </cell>
          <cell r="D63" t="str">
            <v>te_interesaria_participar_en_una_entrevista_cualitativa_si_surge_la_oportunidad</v>
          </cell>
        </row>
        <row r="64">
          <cell r="A64" t="str">
            <v>id</v>
          </cell>
          <cell r="D64" t="str">
            <v>direccion_de_correo_electronico</v>
          </cell>
        </row>
      </sheetData>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_factors" displayName="table_factors" ref="A1:F52" totalsRowShown="0">
  <autoFilter ref="A1:F52" xr:uid="{00000000-0009-0000-0100-000003000000}"/>
  <sortState xmlns:xlrd2="http://schemas.microsoft.com/office/spreadsheetml/2017/richdata2" ref="A2:F52">
    <sortCondition ref="C1:C52"/>
  </sortState>
  <tableColumns count="6">
    <tableColumn id="1" xr3:uid="{00000000-0010-0000-0000-000001000000}" name="wave"/>
    <tableColumn id="2" xr3:uid="{00000000-0010-0000-0000-000002000000}" name="original_variable"/>
    <tableColumn id="3" xr3:uid="{00000000-0010-0000-0000-000003000000}" name="target_name"/>
    <tableColumn id="4" xr3:uid="{00000000-0010-0000-0000-000004000000}" name="original_level"/>
    <tableColumn id="5" xr3:uid="{00000000-0010-0000-0000-000005000000}" name="standard_code"/>
    <tableColumn id="6" xr3:uid="{00000000-0010-0000-0000-000006000000}" name="standard_lab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workbookViewId="0"/>
  </sheetViews>
  <sheetFormatPr defaultColWidth="11.5546875"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3</v>
      </c>
    </row>
    <row r="10" spans="1:1" x14ac:dyDescent="0.3">
      <c r="A10" t="s">
        <v>3</v>
      </c>
    </row>
    <row r="11" spans="1:1" x14ac:dyDescent="0.3">
      <c r="A11" t="s">
        <v>8</v>
      </c>
    </row>
    <row r="12" spans="1:1" x14ac:dyDescent="0.3">
      <c r="A12" t="s">
        <v>9</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2"/>
  <sheetViews>
    <sheetView workbookViewId="0">
      <pane xSplit="1" topLeftCell="B1" activePane="topRight" state="frozen"/>
      <selection pane="topRight" activeCell="C9" sqref="C9:C11"/>
    </sheetView>
  </sheetViews>
  <sheetFormatPr defaultColWidth="11.5546875" defaultRowHeight="14.4" x14ac:dyDescent="0.3"/>
  <cols>
    <col min="1" max="1" width="19.21875" customWidth="1"/>
    <col min="2" max="2" width="51.88671875" customWidth="1"/>
    <col min="3" max="4" width="44.44140625" customWidth="1"/>
  </cols>
  <sheetData>
    <row r="1" spans="1:4" x14ac:dyDescent="0.3">
      <c r="A1" s="1" t="s">
        <v>10</v>
      </c>
      <c r="B1" s="1" t="s">
        <v>11</v>
      </c>
      <c r="C1" s="1" t="s">
        <v>12</v>
      </c>
      <c r="D1" s="1" t="s">
        <v>13</v>
      </c>
    </row>
    <row r="2" spans="1:4" x14ac:dyDescent="0.3">
      <c r="A2" s="2" t="str">
        <f>INDEX([1]Variable_Map_Wide!$A:$A,MATCH(C2,[1]Variable_Map_Wide!$D:$D,0))</f>
        <v>time_stamp</v>
      </c>
      <c r="B2" t="s">
        <v>211</v>
      </c>
      <c r="C2" t="s">
        <v>15</v>
      </c>
      <c r="D2" t="s">
        <v>15</v>
      </c>
    </row>
    <row r="3" spans="1:4" x14ac:dyDescent="0.3">
      <c r="A3" s="2" t="s">
        <v>191</v>
      </c>
      <c r="B3" t="s">
        <v>212</v>
      </c>
      <c r="C3" t="s">
        <v>17</v>
      </c>
      <c r="D3" t="s">
        <v>17</v>
      </c>
    </row>
    <row r="4" spans="1:4" x14ac:dyDescent="0.3">
      <c r="A4" t="s">
        <v>192</v>
      </c>
      <c r="B4" t="s">
        <v>213</v>
      </c>
      <c r="C4" t="s">
        <v>19</v>
      </c>
      <c r="D4" t="s">
        <v>20</v>
      </c>
    </row>
    <row r="5" spans="1:4" x14ac:dyDescent="0.3">
      <c r="A5" t="s">
        <v>193</v>
      </c>
      <c r="B5" t="s">
        <v>214</v>
      </c>
      <c r="C5" t="s">
        <v>22</v>
      </c>
      <c r="D5" t="s">
        <v>23</v>
      </c>
    </row>
    <row r="6" spans="1:4" x14ac:dyDescent="0.3">
      <c r="A6" s="2" t="s">
        <v>185</v>
      </c>
      <c r="B6" t="s">
        <v>186</v>
      </c>
      <c r="C6" t="s">
        <v>25</v>
      </c>
      <c r="D6" t="s">
        <v>26</v>
      </c>
    </row>
    <row r="7" spans="1:4" x14ac:dyDescent="0.3">
      <c r="A7" t="s">
        <v>194</v>
      </c>
      <c r="B7" t="s">
        <v>215</v>
      </c>
      <c r="C7" t="s">
        <v>28</v>
      </c>
      <c r="D7" t="s">
        <v>29</v>
      </c>
    </row>
    <row r="8" spans="1:4" x14ac:dyDescent="0.3">
      <c r="A8" t="s">
        <v>195</v>
      </c>
      <c r="B8" t="s">
        <v>216</v>
      </c>
      <c r="C8" t="s">
        <v>31</v>
      </c>
      <c r="D8" t="s">
        <v>32</v>
      </c>
    </row>
    <row r="9" spans="1:4" x14ac:dyDescent="0.3">
      <c r="A9" t="s">
        <v>258</v>
      </c>
      <c r="B9" t="s">
        <v>217</v>
      </c>
      <c r="C9" t="s">
        <v>34</v>
      </c>
      <c r="D9" t="s">
        <v>35</v>
      </c>
    </row>
    <row r="10" spans="1:4" x14ac:dyDescent="0.3">
      <c r="A10" t="s">
        <v>259</v>
      </c>
      <c r="B10" t="s">
        <v>218</v>
      </c>
      <c r="C10" t="s">
        <v>37</v>
      </c>
      <c r="D10" t="s">
        <v>38</v>
      </c>
    </row>
    <row r="11" spans="1:4" x14ac:dyDescent="0.3">
      <c r="A11" t="s">
        <v>260</v>
      </c>
      <c r="B11" t="s">
        <v>219</v>
      </c>
      <c r="C11" t="s">
        <v>40</v>
      </c>
      <c r="D11" t="s">
        <v>41</v>
      </c>
    </row>
    <row r="12" spans="1:4" x14ac:dyDescent="0.3">
      <c r="A12" t="s">
        <v>196</v>
      </c>
      <c r="B12" t="s">
        <v>257</v>
      </c>
      <c r="C12" t="s">
        <v>43</v>
      </c>
      <c r="D12" t="s">
        <v>44</v>
      </c>
    </row>
    <row r="13" spans="1:4" x14ac:dyDescent="0.3">
      <c r="A13" t="s">
        <v>197</v>
      </c>
      <c r="B13" t="s">
        <v>220</v>
      </c>
      <c r="C13" t="s">
        <v>46</v>
      </c>
      <c r="D13" t="s">
        <v>47</v>
      </c>
    </row>
    <row r="14" spans="1:4" x14ac:dyDescent="0.3">
      <c r="A14" t="s">
        <v>261</v>
      </c>
      <c r="B14" t="s">
        <v>221</v>
      </c>
      <c r="C14" t="s">
        <v>49</v>
      </c>
      <c r="D14" t="s">
        <v>50</v>
      </c>
    </row>
    <row r="15" spans="1:4" x14ac:dyDescent="0.3">
      <c r="A15" t="s">
        <v>262</v>
      </c>
      <c r="B15" t="s">
        <v>222</v>
      </c>
      <c r="C15" t="s">
        <v>52</v>
      </c>
      <c r="D15" t="s">
        <v>53</v>
      </c>
    </row>
    <row r="16" spans="1:4" x14ac:dyDescent="0.3">
      <c r="A16" t="s">
        <v>263</v>
      </c>
      <c r="B16" t="s">
        <v>223</v>
      </c>
      <c r="C16" t="s">
        <v>55</v>
      </c>
      <c r="D16" t="s">
        <v>56</v>
      </c>
    </row>
    <row r="17" spans="1:4" x14ac:dyDescent="0.3">
      <c r="A17" t="s">
        <v>198</v>
      </c>
      <c r="B17" t="s">
        <v>224</v>
      </c>
      <c r="C17" t="s">
        <v>58</v>
      </c>
      <c r="D17" t="s">
        <v>59</v>
      </c>
    </row>
    <row r="18" spans="1:4" x14ac:dyDescent="0.3">
      <c r="A18" t="s">
        <v>264</v>
      </c>
      <c r="B18" t="s">
        <v>225</v>
      </c>
      <c r="C18" t="s">
        <v>61</v>
      </c>
      <c r="D18" t="s">
        <v>62</v>
      </c>
    </row>
    <row r="19" spans="1:4" x14ac:dyDescent="0.3">
      <c r="A19" t="s">
        <v>265</v>
      </c>
      <c r="B19" t="s">
        <v>226</v>
      </c>
      <c r="C19" t="s">
        <v>64</v>
      </c>
      <c r="D19" t="s">
        <v>65</v>
      </c>
    </row>
    <row r="20" spans="1:4" x14ac:dyDescent="0.3">
      <c r="A20" t="s">
        <v>266</v>
      </c>
      <c r="B20" t="s">
        <v>227</v>
      </c>
      <c r="C20" t="s">
        <v>67</v>
      </c>
      <c r="D20" t="s">
        <v>68</v>
      </c>
    </row>
    <row r="21" spans="1:4" x14ac:dyDescent="0.3">
      <c r="A21" t="s">
        <v>199</v>
      </c>
      <c r="B21" t="s">
        <v>228</v>
      </c>
      <c r="C21" t="s">
        <v>70</v>
      </c>
      <c r="D21" t="s">
        <v>71</v>
      </c>
    </row>
    <row r="22" spans="1:4" x14ac:dyDescent="0.3">
      <c r="A22" t="s">
        <v>267</v>
      </c>
      <c r="B22" t="s">
        <v>229</v>
      </c>
      <c r="C22" t="s">
        <v>73</v>
      </c>
      <c r="D22" t="s">
        <v>74</v>
      </c>
    </row>
    <row r="23" spans="1:4" x14ac:dyDescent="0.3">
      <c r="A23" t="s">
        <v>268</v>
      </c>
      <c r="B23" t="s">
        <v>230</v>
      </c>
      <c r="C23" t="s">
        <v>76</v>
      </c>
      <c r="D23" t="s">
        <v>77</v>
      </c>
    </row>
    <row r="24" spans="1:4" x14ac:dyDescent="0.3">
      <c r="A24" t="s">
        <v>269</v>
      </c>
      <c r="B24" t="s">
        <v>231</v>
      </c>
      <c r="C24" t="s">
        <v>79</v>
      </c>
      <c r="D24" t="s">
        <v>80</v>
      </c>
    </row>
    <row r="25" spans="1:4" x14ac:dyDescent="0.3">
      <c r="A25" t="s">
        <v>252</v>
      </c>
      <c r="B25" t="s">
        <v>232</v>
      </c>
      <c r="C25" t="s">
        <v>82</v>
      </c>
      <c r="D25" t="s">
        <v>83</v>
      </c>
    </row>
    <row r="26" spans="1:4" x14ac:dyDescent="0.3">
      <c r="A26" t="s">
        <v>200</v>
      </c>
      <c r="B26" t="s">
        <v>233</v>
      </c>
      <c r="C26" t="s">
        <v>85</v>
      </c>
      <c r="D26" t="s">
        <v>86</v>
      </c>
    </row>
    <row r="27" spans="1:4" x14ac:dyDescent="0.3">
      <c r="A27" t="s">
        <v>201</v>
      </c>
      <c r="B27" t="s">
        <v>234</v>
      </c>
      <c r="C27" t="s">
        <v>88</v>
      </c>
      <c r="D27" t="s">
        <v>89</v>
      </c>
    </row>
    <row r="28" spans="1:4" x14ac:dyDescent="0.3">
      <c r="A28" t="s">
        <v>202</v>
      </c>
      <c r="B28" t="s">
        <v>235</v>
      </c>
      <c r="C28" t="s">
        <v>91</v>
      </c>
      <c r="D28" t="s">
        <v>92</v>
      </c>
    </row>
    <row r="29" spans="1:4" x14ac:dyDescent="0.3">
      <c r="A29" t="s">
        <v>203</v>
      </c>
      <c r="B29" t="s">
        <v>236</v>
      </c>
      <c r="C29" t="s">
        <v>94</v>
      </c>
      <c r="D29" t="s">
        <v>95</v>
      </c>
    </row>
    <row r="30" spans="1:4" x14ac:dyDescent="0.3">
      <c r="A30" t="s">
        <v>248</v>
      </c>
      <c r="B30" t="s">
        <v>237</v>
      </c>
      <c r="C30" t="s">
        <v>97</v>
      </c>
      <c r="D30" t="s">
        <v>98</v>
      </c>
    </row>
    <row r="31" spans="1:4" x14ac:dyDescent="0.3">
      <c r="A31" t="s">
        <v>249</v>
      </c>
      <c r="B31" t="s">
        <v>238</v>
      </c>
      <c r="C31" t="s">
        <v>100</v>
      </c>
      <c r="D31" t="s">
        <v>101</v>
      </c>
    </row>
    <row r="32" spans="1:4" x14ac:dyDescent="0.3">
      <c r="A32" t="s">
        <v>250</v>
      </c>
      <c r="B32" t="s">
        <v>239</v>
      </c>
      <c r="C32" t="s">
        <v>103</v>
      </c>
      <c r="D32" t="s">
        <v>104</v>
      </c>
    </row>
    <row r="33" spans="1:4" x14ac:dyDescent="0.3">
      <c r="A33" t="s">
        <v>251</v>
      </c>
      <c r="B33" t="s">
        <v>240</v>
      </c>
      <c r="C33" t="s">
        <v>106</v>
      </c>
      <c r="D33" t="s">
        <v>107</v>
      </c>
    </row>
    <row r="34" spans="1:4" x14ac:dyDescent="0.3">
      <c r="A34" t="s">
        <v>204</v>
      </c>
      <c r="B34" t="s">
        <v>241</v>
      </c>
      <c r="C34" t="s">
        <v>109</v>
      </c>
      <c r="D34" t="s">
        <v>110</v>
      </c>
    </row>
    <row r="35" spans="1:4" x14ac:dyDescent="0.3">
      <c r="A35" t="s">
        <v>205</v>
      </c>
      <c r="B35" t="s">
        <v>242</v>
      </c>
      <c r="C35" t="s">
        <v>112</v>
      </c>
      <c r="D35" t="s">
        <v>113</v>
      </c>
    </row>
    <row r="36" spans="1:4" x14ac:dyDescent="0.3">
      <c r="A36" t="s">
        <v>206</v>
      </c>
      <c r="B36" t="s">
        <v>243</v>
      </c>
      <c r="C36" t="s">
        <v>115</v>
      </c>
      <c r="D36" t="s">
        <v>116</v>
      </c>
    </row>
    <row r="37" spans="1:4" x14ac:dyDescent="0.3">
      <c r="A37" t="s">
        <v>207</v>
      </c>
      <c r="B37" t="s">
        <v>244</v>
      </c>
      <c r="C37" t="s">
        <v>118</v>
      </c>
      <c r="D37" t="s">
        <v>119</v>
      </c>
    </row>
    <row r="38" spans="1:4" x14ac:dyDescent="0.3">
      <c r="A38" t="s">
        <v>208</v>
      </c>
      <c r="B38" t="s">
        <v>245</v>
      </c>
      <c r="C38" t="s">
        <v>121</v>
      </c>
      <c r="D38" t="s">
        <v>122</v>
      </c>
    </row>
    <row r="39" spans="1:4" x14ac:dyDescent="0.3">
      <c r="A39" t="s">
        <v>209</v>
      </c>
      <c r="B39" t="s">
        <v>246</v>
      </c>
      <c r="C39" t="s">
        <v>124</v>
      </c>
      <c r="D39" t="s">
        <v>125</v>
      </c>
    </row>
    <row r="40" spans="1:4" x14ac:dyDescent="0.3">
      <c r="A40" s="2" t="s">
        <v>189</v>
      </c>
      <c r="B40" t="s">
        <v>190</v>
      </c>
      <c r="C40" t="s">
        <v>127</v>
      </c>
      <c r="D40" t="s">
        <v>128</v>
      </c>
    </row>
    <row r="41" spans="1:4" x14ac:dyDescent="0.3">
      <c r="A41" s="2" t="s">
        <v>188</v>
      </c>
      <c r="B41" t="s">
        <v>187</v>
      </c>
      <c r="C41" t="s">
        <v>130</v>
      </c>
      <c r="D41" t="s">
        <v>131</v>
      </c>
    </row>
    <row r="42" spans="1:4" x14ac:dyDescent="0.3">
      <c r="A42" t="s">
        <v>210</v>
      </c>
      <c r="B42" t="s">
        <v>247</v>
      </c>
      <c r="C42" t="s">
        <v>133</v>
      </c>
      <c r="D42" t="s">
        <v>134</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2"/>
  <sheetViews>
    <sheetView workbookViewId="0">
      <selection activeCell="C12" sqref="C12"/>
    </sheetView>
  </sheetViews>
  <sheetFormatPr defaultColWidth="11.5546875" defaultRowHeight="14.4" x14ac:dyDescent="0.3"/>
  <cols>
    <col min="2" max="2" width="35" customWidth="1"/>
    <col min="3" max="3" width="31.88671875" customWidth="1"/>
    <col min="4" max="4" width="32.88671875" customWidth="1"/>
    <col min="5" max="5" width="24.77734375" customWidth="1"/>
    <col min="6" max="6" width="33.21875" customWidth="1"/>
  </cols>
  <sheetData>
    <row r="1" spans="1:6" x14ac:dyDescent="0.3">
      <c r="A1" t="s">
        <v>135</v>
      </c>
      <c r="B1" t="s">
        <v>136</v>
      </c>
      <c r="C1" t="s">
        <v>10</v>
      </c>
      <c r="D1" t="s">
        <v>137</v>
      </c>
      <c r="E1" s="3" t="s">
        <v>138</v>
      </c>
      <c r="F1" s="3" t="s">
        <v>139</v>
      </c>
    </row>
    <row r="2" spans="1:6" x14ac:dyDescent="0.3">
      <c r="A2" t="s">
        <v>12</v>
      </c>
      <c r="B2" t="s">
        <v>46</v>
      </c>
      <c r="C2" t="str">
        <f>_xlfn.IFNA(_xlfn.XLOOKUP(B2, Variable_Map_Wide!$C$2:$C$42, Variable_Map_Wide!$A$2:$A$42), _xlfn.XLOOKUP(B2, Variable_Map_Wide!$D$2:$D$42, Variable_Map_Wide!$A$2:$A$42))</f>
        <v>arizona_distance</v>
      </c>
      <c r="D2" t="s">
        <v>163</v>
      </c>
      <c r="E2">
        <v>1</v>
      </c>
      <c r="F2" t="s">
        <v>164</v>
      </c>
    </row>
    <row r="3" spans="1:6" x14ac:dyDescent="0.3">
      <c r="A3" t="s">
        <v>13</v>
      </c>
      <c r="B3" t="s">
        <v>47</v>
      </c>
      <c r="C3" t="str">
        <f>_xlfn.IFNA(_xlfn.XLOOKUP(B3, Variable_Map_Wide!$C$2:$C$42, Variable_Map_Wide!$A$2:$A$42), _xlfn.XLOOKUP(B3, Variable_Map_Wide!$D$2:$D$42, Variable_Map_Wide!$A$2:$A$42))</f>
        <v>arizona_distance</v>
      </c>
      <c r="D3" t="s">
        <v>164</v>
      </c>
      <c r="E3">
        <v>1</v>
      </c>
      <c r="F3" t="s">
        <v>164</v>
      </c>
    </row>
    <row r="4" spans="1:6" x14ac:dyDescent="0.3">
      <c r="A4" t="s">
        <v>12</v>
      </c>
      <c r="B4" t="s">
        <v>46</v>
      </c>
      <c r="C4" t="str">
        <f>_xlfn.IFNA(_xlfn.XLOOKUP(B4, Variable_Map_Wide!$C$2:$C$42, Variable_Map_Wide!$A$2:$A$42), _xlfn.XLOOKUP(B4, Variable_Map_Wide!$D$2:$D$42, Variable_Map_Wide!$A$2:$A$42))</f>
        <v>arizona_distance</v>
      </c>
      <c r="D4" t="s">
        <v>165</v>
      </c>
      <c r="E4">
        <v>2</v>
      </c>
      <c r="F4" t="s">
        <v>166</v>
      </c>
    </row>
    <row r="5" spans="1:6" x14ac:dyDescent="0.3">
      <c r="A5" t="s">
        <v>13</v>
      </c>
      <c r="B5" t="s">
        <v>47</v>
      </c>
      <c r="C5" t="str">
        <f>_xlfn.IFNA(_xlfn.XLOOKUP(B5, Variable_Map_Wide!$C$2:$C$42, Variable_Map_Wide!$A$2:$A$42), _xlfn.XLOOKUP(B5, Variable_Map_Wide!$D$2:$D$42, Variable_Map_Wide!$A$2:$A$42))</f>
        <v>arizona_distance</v>
      </c>
      <c r="D5" t="s">
        <v>166</v>
      </c>
      <c r="E5">
        <v>2</v>
      </c>
      <c r="F5" t="s">
        <v>166</v>
      </c>
    </row>
    <row r="6" spans="1:6" x14ac:dyDescent="0.3">
      <c r="A6" t="s">
        <v>12</v>
      </c>
      <c r="B6" t="s">
        <v>28</v>
      </c>
      <c r="C6" t="str">
        <f>_xlfn.IFNA(_xlfn.XLOOKUP(B6, Variable_Map_Wide!$C$2:$C$42, Variable_Map_Wide!$A$2:$A$42), _xlfn.XLOOKUP(B6, Variable_Map_Wide!$D$2:$D$42, Variable_Map_Wide!$A$2:$A$42))</f>
        <v>arizona_routing</v>
      </c>
      <c r="D6" t="s">
        <v>157</v>
      </c>
      <c r="E6">
        <v>1</v>
      </c>
      <c r="F6" t="s">
        <v>157</v>
      </c>
    </row>
    <row r="7" spans="1:6" x14ac:dyDescent="0.3">
      <c r="A7" t="s">
        <v>13</v>
      </c>
      <c r="B7" t="s">
        <v>29</v>
      </c>
      <c r="C7" t="str">
        <f>_xlfn.IFNA(_xlfn.XLOOKUP(B7, Variable_Map_Wide!$C$2:$C$42, Variable_Map_Wide!$A$2:$A$42), _xlfn.XLOOKUP(B7, Variable_Map_Wide!$D$2:$D$42, Variable_Map_Wide!$A$2:$A$42))</f>
        <v>arizona_routing</v>
      </c>
      <c r="D7" t="s">
        <v>157</v>
      </c>
      <c r="E7">
        <v>1</v>
      </c>
      <c r="F7" t="s">
        <v>157</v>
      </c>
    </row>
    <row r="8" spans="1:6" x14ac:dyDescent="0.3">
      <c r="A8" t="s">
        <v>12</v>
      </c>
      <c r="B8" t="s">
        <v>28</v>
      </c>
      <c r="C8" t="str">
        <f>_xlfn.IFNA(_xlfn.XLOOKUP(B8, Variable_Map_Wide!$C$2:$C$42, Variable_Map_Wide!$A$2:$A$42), _xlfn.XLOOKUP(B8, Variable_Map_Wide!$D$2:$D$42, Variable_Map_Wide!$A$2:$A$42))</f>
        <v>arizona_routing</v>
      </c>
      <c r="D8" t="s">
        <v>158</v>
      </c>
      <c r="E8">
        <v>2</v>
      </c>
      <c r="F8" t="s">
        <v>159</v>
      </c>
    </row>
    <row r="9" spans="1:6" x14ac:dyDescent="0.3">
      <c r="A9" t="s">
        <v>13</v>
      </c>
      <c r="B9" t="s">
        <v>29</v>
      </c>
      <c r="C9" t="str">
        <f>_xlfn.IFNA(_xlfn.XLOOKUP(B9, Variable_Map_Wide!$C$2:$C$42, Variable_Map_Wide!$A$2:$A$42), _xlfn.XLOOKUP(B9, Variable_Map_Wide!$D$2:$D$42, Variable_Map_Wide!$A$2:$A$42))</f>
        <v>arizona_routing</v>
      </c>
      <c r="D9" t="s">
        <v>159</v>
      </c>
      <c r="E9">
        <v>2</v>
      </c>
      <c r="F9" t="s">
        <v>159</v>
      </c>
    </row>
    <row r="10" spans="1:6" x14ac:dyDescent="0.3">
      <c r="A10" t="s">
        <v>12</v>
      </c>
      <c r="B10" t="s">
        <v>31</v>
      </c>
      <c r="C10" t="str">
        <f>_xlfn.IFNA(_xlfn.XLOOKUP(B10, Variable_Map_Wide!$C$2:$C$42, Variable_Map_Wide!$A$2:$A$42), _xlfn.XLOOKUP(B10, Variable_Map_Wide!$D$2:$D$42, Variable_Map_Wide!$A$2:$A$42))</f>
        <v>arizona_unit</v>
      </c>
      <c r="D10" t="s">
        <v>160</v>
      </c>
      <c r="E10">
        <v>1</v>
      </c>
      <c r="F10" t="s">
        <v>161</v>
      </c>
    </row>
    <row r="11" spans="1:6" x14ac:dyDescent="0.3">
      <c r="A11" t="s">
        <v>13</v>
      </c>
      <c r="B11" t="s">
        <v>32</v>
      </c>
      <c r="C11" t="str">
        <f>_xlfn.IFNA(_xlfn.XLOOKUP(B11, Variable_Map_Wide!$C$2:$C$42, Variable_Map_Wide!$A$2:$A$42), _xlfn.XLOOKUP(B11, Variable_Map_Wide!$D$2:$D$42, Variable_Map_Wide!$A$2:$A$42))</f>
        <v>arizona_unit</v>
      </c>
      <c r="D11" t="s">
        <v>161</v>
      </c>
      <c r="E11">
        <v>1</v>
      </c>
      <c r="F11" t="s">
        <v>161</v>
      </c>
    </row>
    <row r="12" spans="1:6" x14ac:dyDescent="0.3">
      <c r="A12" t="s">
        <v>12</v>
      </c>
      <c r="B12" t="s">
        <v>31</v>
      </c>
      <c r="C12" t="str">
        <f>_xlfn.IFNA(_xlfn.XLOOKUP(B12, Variable_Map_Wide!$C$2:$C$42, Variable_Map_Wide!$A$2:$A$42), _xlfn.XLOOKUP(B12, Variable_Map_Wide!$D$2:$D$42, Variable_Map_Wide!$A$2:$A$42))</f>
        <v>arizona_unit</v>
      </c>
      <c r="D12" t="s">
        <v>162</v>
      </c>
      <c r="E12">
        <v>2</v>
      </c>
      <c r="F12" t="s">
        <v>253</v>
      </c>
    </row>
    <row r="13" spans="1:6" x14ac:dyDescent="0.3">
      <c r="A13" t="s">
        <v>12</v>
      </c>
      <c r="B13" t="s">
        <v>22</v>
      </c>
      <c r="C13" t="str">
        <f>_xlfn.IFNA(_xlfn.XLOOKUP(B13, Variable_Map_Wide!$C$2:$C$42, Variable_Map_Wide!$A$2:$A$42), _xlfn.XLOOKUP(B13, Variable_Map_Wide!$D$2:$D$42, Variable_Map_Wide!$A$2:$A$42))</f>
        <v>date_measure_month</v>
      </c>
      <c r="D13" t="s">
        <v>146</v>
      </c>
      <c r="E13">
        <v>1</v>
      </c>
      <c r="F13" t="s">
        <v>254</v>
      </c>
    </row>
    <row r="14" spans="1:6" x14ac:dyDescent="0.3">
      <c r="A14" t="s">
        <v>12</v>
      </c>
      <c r="B14" t="s">
        <v>22</v>
      </c>
      <c r="C14" t="str">
        <f>_xlfn.IFNA(_xlfn.XLOOKUP(B14, Variable_Map_Wide!$C$2:$C$42, Variable_Map_Wide!$A$2:$A$42), _xlfn.XLOOKUP(B14, Variable_Map_Wide!$D$2:$D$42, Variable_Map_Wide!$A$2:$A$42))</f>
        <v>date_measure_month</v>
      </c>
      <c r="D14" t="s">
        <v>144</v>
      </c>
      <c r="E14">
        <v>2</v>
      </c>
      <c r="F14" t="s">
        <v>147</v>
      </c>
    </row>
    <row r="15" spans="1:6" x14ac:dyDescent="0.3">
      <c r="A15" t="s">
        <v>13</v>
      </c>
      <c r="B15" t="s">
        <v>23</v>
      </c>
      <c r="C15" t="str">
        <f>_xlfn.IFNA(_xlfn.XLOOKUP(B15, Variable_Map_Wide!$C$2:$C$42, Variable_Map_Wide!$A$2:$A$42), _xlfn.XLOOKUP(B15, Variable_Map_Wide!$D$2:$D$42, Variable_Map_Wide!$A$2:$A$42))</f>
        <v>date_measure_month</v>
      </c>
      <c r="D15" t="s">
        <v>147</v>
      </c>
      <c r="E15">
        <v>2</v>
      </c>
      <c r="F15" t="s">
        <v>147</v>
      </c>
    </row>
    <row r="16" spans="1:6" x14ac:dyDescent="0.3">
      <c r="A16" t="s">
        <v>12</v>
      </c>
      <c r="B16" t="s">
        <v>22</v>
      </c>
      <c r="C16" t="str">
        <f>_xlfn.IFNA(_xlfn.XLOOKUP(B16, Variable_Map_Wide!$C$2:$C$42, Variable_Map_Wide!$A$2:$A$42), _xlfn.XLOOKUP(B16, Variable_Map_Wide!$D$2:$D$42, Variable_Map_Wide!$A$2:$A$42))</f>
        <v>date_measure_month</v>
      </c>
      <c r="D16" t="s">
        <v>148</v>
      </c>
      <c r="E16">
        <v>3</v>
      </c>
      <c r="F16" t="s">
        <v>149</v>
      </c>
    </row>
    <row r="17" spans="1:6" x14ac:dyDescent="0.3">
      <c r="A17" t="s">
        <v>13</v>
      </c>
      <c r="B17" t="s">
        <v>23</v>
      </c>
      <c r="C17" t="str">
        <f>_xlfn.IFNA(_xlfn.XLOOKUP(B17, Variable_Map_Wide!$C$2:$C$42, Variable_Map_Wide!$A$2:$A$42), _xlfn.XLOOKUP(B17, Variable_Map_Wide!$D$2:$D$42, Variable_Map_Wide!$A$2:$A$42))</f>
        <v>date_measure_month</v>
      </c>
      <c r="D17" t="s">
        <v>149</v>
      </c>
      <c r="E17">
        <v>3</v>
      </c>
      <c r="F17" t="s">
        <v>149</v>
      </c>
    </row>
    <row r="18" spans="1:6" x14ac:dyDescent="0.3">
      <c r="A18" t="s">
        <v>12</v>
      </c>
      <c r="B18" t="s">
        <v>22</v>
      </c>
      <c r="C18" t="str">
        <f>_xlfn.IFNA(_xlfn.XLOOKUP(B18, Variable_Map_Wide!$C$2:$C$42, Variable_Map_Wide!$A$2:$A$42), _xlfn.XLOOKUP(B18, Variable_Map_Wide!$D$2:$D$42, Variable_Map_Wide!$A$2:$A$42))</f>
        <v>date_measure_month</v>
      </c>
      <c r="D18" t="s">
        <v>140</v>
      </c>
      <c r="E18">
        <v>4</v>
      </c>
      <c r="F18" t="s">
        <v>141</v>
      </c>
    </row>
    <row r="19" spans="1:6" x14ac:dyDescent="0.3">
      <c r="A19" t="s">
        <v>13</v>
      </c>
      <c r="B19" t="s">
        <v>23</v>
      </c>
      <c r="C19" t="str">
        <f>_xlfn.IFNA(_xlfn.XLOOKUP(B19, Variable_Map_Wide!$C$2:$C$42, Variable_Map_Wide!$A$2:$A$42), _xlfn.XLOOKUP(B19, Variable_Map_Wide!$D$2:$D$42, Variable_Map_Wide!$A$2:$A$42))</f>
        <v>date_measure_month</v>
      </c>
      <c r="D19" t="s">
        <v>141</v>
      </c>
      <c r="E19">
        <v>4</v>
      </c>
      <c r="F19" t="s">
        <v>141</v>
      </c>
    </row>
    <row r="20" spans="1:6" x14ac:dyDescent="0.3">
      <c r="A20" t="s">
        <v>12</v>
      </c>
      <c r="B20" t="s">
        <v>22</v>
      </c>
      <c r="C20" t="str">
        <f>_xlfn.IFNA(_xlfn.XLOOKUP(B20, Variable_Map_Wide!$C$2:$C$42, Variable_Map_Wide!$A$2:$A$42), _xlfn.XLOOKUP(B20, Variable_Map_Wide!$D$2:$D$42, Variable_Map_Wide!$A$2:$A$42))</f>
        <v>date_measure_month</v>
      </c>
      <c r="D20" t="s">
        <v>150</v>
      </c>
      <c r="E20">
        <v>5</v>
      </c>
      <c r="F20" t="s">
        <v>255</v>
      </c>
    </row>
    <row r="21" spans="1:6" x14ac:dyDescent="0.3">
      <c r="A21" t="s">
        <v>13</v>
      </c>
      <c r="B21" t="s">
        <v>23</v>
      </c>
      <c r="C21" t="str">
        <f>_xlfn.IFNA(_xlfn.XLOOKUP(B21, Variable_Map_Wide!$C$2:$C$42, Variable_Map_Wide!$A$2:$A$42), _xlfn.XLOOKUP(B21, Variable_Map_Wide!$D$2:$D$42, Variable_Map_Wide!$A$2:$A$42))</f>
        <v>date_measure_month</v>
      </c>
      <c r="D21" t="s">
        <v>143</v>
      </c>
      <c r="E21">
        <v>8</v>
      </c>
      <c r="F21" t="s">
        <v>143</v>
      </c>
    </row>
    <row r="22" spans="1:6" x14ac:dyDescent="0.3">
      <c r="A22" t="s">
        <v>13</v>
      </c>
      <c r="B22" t="s">
        <v>23</v>
      </c>
      <c r="C22" t="str">
        <f>_xlfn.IFNA(_xlfn.XLOOKUP(B22, Variable_Map_Wide!$C$2:$C$42, Variable_Map_Wide!$A$2:$A$42), _xlfn.XLOOKUP(B22, Variable_Map_Wide!$D$2:$D$42, Variable_Map_Wide!$A$2:$A$42))</f>
        <v>date_measure_month</v>
      </c>
      <c r="D22" t="s">
        <v>151</v>
      </c>
      <c r="E22">
        <v>9</v>
      </c>
      <c r="F22" t="s">
        <v>151</v>
      </c>
    </row>
    <row r="23" spans="1:6" x14ac:dyDescent="0.3">
      <c r="A23" t="s">
        <v>12</v>
      </c>
      <c r="B23" t="s">
        <v>22</v>
      </c>
      <c r="C23" t="str">
        <f>_xlfn.IFNA(_xlfn.XLOOKUP(B23, Variable_Map_Wide!$C$2:$C$42, Variable_Map_Wide!$A$2:$A$42), _xlfn.XLOOKUP(B23, Variable_Map_Wide!$D$2:$D$42, Variable_Map_Wide!$A$2:$A$42))</f>
        <v>date_measure_month</v>
      </c>
      <c r="D23" t="s">
        <v>152</v>
      </c>
      <c r="E23">
        <v>11</v>
      </c>
      <c r="F23" t="s">
        <v>256</v>
      </c>
    </row>
    <row r="24" spans="1:6" x14ac:dyDescent="0.3">
      <c r="A24" t="s">
        <v>12</v>
      </c>
      <c r="B24" t="s">
        <v>22</v>
      </c>
      <c r="C24" t="str">
        <f>_xlfn.IFNA(_xlfn.XLOOKUP(B24, Variable_Map_Wide!$C$2:$C$42, Variable_Map_Wide!$A$2:$A$42), _xlfn.XLOOKUP(B24, Variable_Map_Wide!$D$2:$D$42, Variable_Map_Wide!$A$2:$A$42))</f>
        <v>date_measure_month</v>
      </c>
      <c r="D24" t="s">
        <v>142</v>
      </c>
      <c r="E24">
        <v>12</v>
      </c>
      <c r="F24" t="s">
        <v>145</v>
      </c>
    </row>
    <row r="25" spans="1:6" x14ac:dyDescent="0.3">
      <c r="A25" t="s">
        <v>13</v>
      </c>
      <c r="B25" t="s">
        <v>23</v>
      </c>
      <c r="C25" t="str">
        <f>_xlfn.IFNA(_xlfn.XLOOKUP(B25, Variable_Map_Wide!$C$2:$C$42, Variable_Map_Wide!$A$2:$A$42), _xlfn.XLOOKUP(B25, Variable_Map_Wide!$D$2:$D$42, Variable_Map_Wide!$A$2:$A$42))</f>
        <v>date_measure_month</v>
      </c>
      <c r="D25" t="s">
        <v>145</v>
      </c>
      <c r="E25">
        <v>12</v>
      </c>
      <c r="F25" t="s">
        <v>145</v>
      </c>
    </row>
    <row r="26" spans="1:6" x14ac:dyDescent="0.3">
      <c r="A26" t="s">
        <v>13</v>
      </c>
      <c r="B26" t="s">
        <v>110</v>
      </c>
      <c r="C26" t="str">
        <f>_xlfn.IFNA(_xlfn.XLOOKUP(B26, Variable_Map_Wide!$C$2:$C$42, Variable_Map_Wide!$A$2:$A$42), _xlfn.XLOOKUP(B26, Variable_Map_Wide!$D$2:$D$42, Variable_Map_Wide!$A$2:$A$42))</f>
        <v>lightning_conditions</v>
      </c>
      <c r="D26" t="s">
        <v>170</v>
      </c>
      <c r="E26">
        <v>1</v>
      </c>
      <c r="F26" t="s">
        <v>170</v>
      </c>
    </row>
    <row r="27" spans="1:6" x14ac:dyDescent="0.3">
      <c r="A27" t="s">
        <v>12</v>
      </c>
      <c r="B27" t="s">
        <v>109</v>
      </c>
      <c r="C27" t="str">
        <f>_xlfn.IFNA(_xlfn.XLOOKUP(B27, Variable_Map_Wide!$C$2:$C$42, Variable_Map_Wide!$A$2:$A$42), _xlfn.XLOOKUP(B27, Variable_Map_Wide!$D$2:$D$42, Variable_Map_Wide!$A$2:$A$42))</f>
        <v>lightning_conditions</v>
      </c>
      <c r="D27" t="s">
        <v>171</v>
      </c>
      <c r="E27">
        <v>1</v>
      </c>
      <c r="F27" t="s">
        <v>170</v>
      </c>
    </row>
    <row r="28" spans="1:6" x14ac:dyDescent="0.3">
      <c r="A28" t="s">
        <v>13</v>
      </c>
      <c r="B28" t="s">
        <v>110</v>
      </c>
      <c r="C28" t="str">
        <f>_xlfn.IFNA(_xlfn.XLOOKUP(B28, Variable_Map_Wide!$C$2:$C$42, Variable_Map_Wide!$A$2:$A$42), _xlfn.XLOOKUP(B28, Variable_Map_Wide!$D$2:$D$42, Variable_Map_Wide!$A$2:$A$42))</f>
        <v>lightning_conditions</v>
      </c>
      <c r="D28" t="s">
        <v>168</v>
      </c>
      <c r="E28">
        <v>2</v>
      </c>
      <c r="F28" t="s">
        <v>168</v>
      </c>
    </row>
    <row r="29" spans="1:6" x14ac:dyDescent="0.3">
      <c r="A29" t="s">
        <v>12</v>
      </c>
      <c r="B29" t="s">
        <v>109</v>
      </c>
      <c r="C29" t="str">
        <f>_xlfn.IFNA(_xlfn.XLOOKUP(B29, Variable_Map_Wide!$C$2:$C$42, Variable_Map_Wide!$A$2:$A$42), _xlfn.XLOOKUP(B29, Variable_Map_Wide!$D$2:$D$42, Variable_Map_Wide!$A$2:$A$42))</f>
        <v>lightning_conditions</v>
      </c>
      <c r="D29" t="s">
        <v>169</v>
      </c>
      <c r="E29">
        <v>2</v>
      </c>
      <c r="F29" t="s">
        <v>168</v>
      </c>
    </row>
    <row r="30" spans="1:6" x14ac:dyDescent="0.3">
      <c r="A30" t="s">
        <v>12</v>
      </c>
      <c r="B30" t="s">
        <v>109</v>
      </c>
      <c r="C30" t="str">
        <f>_xlfn.IFNA(_xlfn.XLOOKUP(B30, Variable_Map_Wide!$C$2:$C$42, Variable_Map_Wide!$A$2:$A$42), _xlfn.XLOOKUP(B30, Variable_Map_Wide!$D$2:$D$42, Variable_Map_Wide!$A$2:$A$42))</f>
        <v>lightning_conditions</v>
      </c>
      <c r="D30" t="s">
        <v>167</v>
      </c>
      <c r="E30">
        <v>3</v>
      </c>
      <c r="F30" t="s">
        <v>172</v>
      </c>
    </row>
    <row r="31" spans="1:6" x14ac:dyDescent="0.3">
      <c r="A31" t="s">
        <v>13</v>
      </c>
      <c r="B31" t="s">
        <v>110</v>
      </c>
      <c r="C31" t="str">
        <f>_xlfn.IFNA(_xlfn.XLOOKUP(B31, Variable_Map_Wide!$C$2:$C$42, Variable_Map_Wide!$A$2:$A$42), _xlfn.XLOOKUP(B31, Variable_Map_Wide!$D$2:$D$42, Variable_Map_Wide!$A$2:$A$42))</f>
        <v>lightning_conditions</v>
      </c>
      <c r="D31" t="s">
        <v>172</v>
      </c>
      <c r="E31">
        <v>3</v>
      </c>
      <c r="F31" t="s">
        <v>172</v>
      </c>
    </row>
    <row r="32" spans="1:6" x14ac:dyDescent="0.3">
      <c r="A32" t="s">
        <v>12</v>
      </c>
      <c r="B32" t="s">
        <v>109</v>
      </c>
      <c r="C32" t="str">
        <f>_xlfn.IFNA(_xlfn.XLOOKUP(B32, Variable_Map_Wide!$C$2:$C$42, Variable_Map_Wide!$A$2:$A$42), _xlfn.XLOOKUP(B32, Variable_Map_Wide!$D$2:$D$42, Variable_Map_Wide!$A$2:$A$42))</f>
        <v>lightning_conditions</v>
      </c>
      <c r="D32" t="s">
        <v>173</v>
      </c>
      <c r="E32">
        <v>4</v>
      </c>
      <c r="F32" t="s">
        <v>174</v>
      </c>
    </row>
    <row r="33" spans="1:6" x14ac:dyDescent="0.3">
      <c r="A33" t="s">
        <v>13</v>
      </c>
      <c r="B33" t="s">
        <v>110</v>
      </c>
      <c r="C33" t="str">
        <f>_xlfn.IFNA(_xlfn.XLOOKUP(B33, Variable_Map_Wide!$C$2:$C$42, Variable_Map_Wide!$A$2:$A$42), _xlfn.XLOOKUP(B33, Variable_Map_Wide!$D$2:$D$42, Variable_Map_Wide!$A$2:$A$42))</f>
        <v>lightning_conditions</v>
      </c>
      <c r="D33" t="s">
        <v>174</v>
      </c>
      <c r="E33">
        <v>4</v>
      </c>
      <c r="F33" t="s">
        <v>174</v>
      </c>
    </row>
    <row r="34" spans="1:6" x14ac:dyDescent="0.3">
      <c r="A34" t="s">
        <v>12</v>
      </c>
      <c r="B34" t="s">
        <v>109</v>
      </c>
      <c r="C34" t="str">
        <f>_xlfn.IFNA(_xlfn.XLOOKUP(B34, Variable_Map_Wide!$C$2:$C$42, Variable_Map_Wide!$A$2:$A$42), _xlfn.XLOOKUP(B34, Variable_Map_Wide!$D$2:$D$42, Variable_Map_Wide!$A$2:$A$42))</f>
        <v>lightning_conditions</v>
      </c>
      <c r="D34" t="s">
        <v>175</v>
      </c>
      <c r="E34">
        <v>5</v>
      </c>
      <c r="F34" t="s">
        <v>176</v>
      </c>
    </row>
    <row r="35" spans="1:6" x14ac:dyDescent="0.3">
      <c r="A35" t="s">
        <v>13</v>
      </c>
      <c r="B35" t="s">
        <v>110</v>
      </c>
      <c r="C35" t="str">
        <f>_xlfn.IFNA(_xlfn.XLOOKUP(B35, Variable_Map_Wide!$C$2:$C$42, Variable_Map_Wide!$A$2:$A$42), _xlfn.XLOOKUP(B35, Variable_Map_Wide!$D$2:$D$42, Variable_Map_Wide!$A$2:$A$42))</f>
        <v>lightning_conditions</v>
      </c>
      <c r="D35" t="s">
        <v>176</v>
      </c>
      <c r="E35">
        <v>5</v>
      </c>
      <c r="F35" t="s">
        <v>176</v>
      </c>
    </row>
    <row r="36" spans="1:6" x14ac:dyDescent="0.3">
      <c r="A36" t="s">
        <v>12</v>
      </c>
      <c r="B36" t="s">
        <v>118</v>
      </c>
      <c r="C36" t="str">
        <f>_xlfn.IFNA(_xlfn.XLOOKUP(B36, Variable_Map_Wide!$C$2:$C$42, Variable_Map_Wide!$A$2:$A$42), _xlfn.XLOOKUP(B36, Variable_Map_Wide!$D$2:$D$42, Variable_Map_Wide!$A$2:$A$42))</f>
        <v>practice_dummy</v>
      </c>
      <c r="D36" t="s">
        <v>177</v>
      </c>
      <c r="E36">
        <v>1</v>
      </c>
      <c r="F36" t="s">
        <v>178</v>
      </c>
    </row>
    <row r="37" spans="1:6" x14ac:dyDescent="0.3">
      <c r="A37" t="s">
        <v>13</v>
      </c>
      <c r="B37" t="s">
        <v>119</v>
      </c>
      <c r="C37" t="str">
        <f>_xlfn.IFNA(_xlfn.XLOOKUP(B37, Variable_Map_Wide!$C$2:$C$42, Variable_Map_Wide!$A$2:$A$42), _xlfn.XLOOKUP(B37, Variable_Map_Wide!$D$2:$D$42, Variable_Map_Wide!$A$2:$A$42))</f>
        <v>practice_dummy</v>
      </c>
      <c r="D37" t="s">
        <v>178</v>
      </c>
      <c r="E37">
        <v>1</v>
      </c>
      <c r="F37" t="s">
        <v>178</v>
      </c>
    </row>
    <row r="38" spans="1:6" x14ac:dyDescent="0.3">
      <c r="A38" t="s">
        <v>13</v>
      </c>
      <c r="B38" t="s">
        <v>119</v>
      </c>
      <c r="C38" t="str">
        <f>_xlfn.IFNA(_xlfn.XLOOKUP(B38, Variable_Map_Wide!$C$2:$C$42, Variable_Map_Wide!$A$2:$A$42), _xlfn.XLOOKUP(B38, Variable_Map_Wide!$D$2:$D$42, Variable_Map_Wide!$A$2:$A$42))</f>
        <v>practice_dummy</v>
      </c>
      <c r="D38" t="s">
        <v>159</v>
      </c>
      <c r="E38">
        <v>2</v>
      </c>
      <c r="F38" t="s">
        <v>158</v>
      </c>
    </row>
    <row r="39" spans="1:6" x14ac:dyDescent="0.3">
      <c r="A39" t="s">
        <v>12</v>
      </c>
      <c r="B39" t="s">
        <v>118</v>
      </c>
      <c r="C39" t="str">
        <f>_xlfn.IFNA(_xlfn.XLOOKUP(B39, Variable_Map_Wide!$C$2:$C$42, Variable_Map_Wide!$A$2:$A$42), _xlfn.XLOOKUP(B39, Variable_Map_Wide!$D$2:$D$42, Variable_Map_Wide!$A$2:$A$42))</f>
        <v>practice_dummy</v>
      </c>
      <c r="D39" t="s">
        <v>158</v>
      </c>
      <c r="E39">
        <v>2</v>
      </c>
      <c r="F39" t="s">
        <v>158</v>
      </c>
    </row>
    <row r="40" spans="1:6" x14ac:dyDescent="0.3">
      <c r="A40" t="s">
        <v>12</v>
      </c>
      <c r="B40" t="s">
        <v>25</v>
      </c>
      <c r="C40" t="str">
        <f>_xlfn.IFNA(_xlfn.XLOOKUP(B40, Variable_Map_Wide!$C$2:$C$42, Variable_Map_Wide!$A$2:$A$42), _xlfn.XLOOKUP(B40, Variable_Map_Wide!$D$2:$D$42, Variable_Map_Wide!$A$2:$A$42))</f>
        <v>program</v>
      </c>
      <c r="D40" t="s">
        <v>153</v>
      </c>
      <c r="E40">
        <v>1</v>
      </c>
      <c r="F40" t="s">
        <v>154</v>
      </c>
    </row>
    <row r="41" spans="1:6" x14ac:dyDescent="0.3">
      <c r="A41" t="s">
        <v>13</v>
      </c>
      <c r="B41" t="s">
        <v>26</v>
      </c>
      <c r="C41" t="str">
        <f>_xlfn.IFNA(_xlfn.XLOOKUP(B41, Variable_Map_Wide!$C$2:$C$42, Variable_Map_Wide!$A$2:$A$42), _xlfn.XLOOKUP(B41, Variable_Map_Wide!$D$2:$D$42, Variable_Map_Wide!$A$2:$A$42))</f>
        <v>program</v>
      </c>
      <c r="D41" t="s">
        <v>154</v>
      </c>
      <c r="E41">
        <v>1</v>
      </c>
      <c r="F41" t="s">
        <v>154</v>
      </c>
    </row>
    <row r="42" spans="1:6" x14ac:dyDescent="0.3">
      <c r="A42" t="s">
        <v>12</v>
      </c>
      <c r="B42" t="s">
        <v>25</v>
      </c>
      <c r="C42" t="str">
        <f>_xlfn.IFNA(_xlfn.XLOOKUP(B42, Variable_Map_Wide!$C$2:$C$42, Variable_Map_Wide!$A$2:$A$42), _xlfn.XLOOKUP(B42, Variable_Map_Wide!$D$2:$D$42, Variable_Map_Wide!$A$2:$A$42))</f>
        <v>program</v>
      </c>
      <c r="D42" t="s">
        <v>155</v>
      </c>
      <c r="E42">
        <v>2</v>
      </c>
      <c r="F42" t="s">
        <v>155</v>
      </c>
    </row>
    <row r="43" spans="1:6" x14ac:dyDescent="0.3">
      <c r="A43" t="s">
        <v>13</v>
      </c>
      <c r="B43" t="s">
        <v>26</v>
      </c>
      <c r="C43" t="str">
        <f>_xlfn.IFNA(_xlfn.XLOOKUP(B43, Variable_Map_Wide!$C$2:$C$42, Variable_Map_Wide!$A$2:$A$42), _xlfn.XLOOKUP(B43, Variable_Map_Wide!$D$2:$D$42, Variable_Map_Wide!$A$2:$A$42))</f>
        <v>program</v>
      </c>
      <c r="D43" t="s">
        <v>155</v>
      </c>
      <c r="E43">
        <v>2</v>
      </c>
      <c r="F43" t="s">
        <v>155</v>
      </c>
    </row>
    <row r="44" spans="1:6" x14ac:dyDescent="0.3">
      <c r="A44" t="s">
        <v>12</v>
      </c>
      <c r="B44" t="s">
        <v>25</v>
      </c>
      <c r="C44" t="str">
        <f>_xlfn.IFNA(_xlfn.XLOOKUP(B44, Variable_Map_Wide!$C$2:$C$42, Variable_Map_Wide!$A$2:$A$42), _xlfn.XLOOKUP(B44, Variable_Map_Wide!$D$2:$D$42, Variable_Map_Wide!$A$2:$A$42))</f>
        <v>program</v>
      </c>
      <c r="D44" t="s">
        <v>156</v>
      </c>
      <c r="E44">
        <v>3</v>
      </c>
      <c r="F44" t="s">
        <v>156</v>
      </c>
    </row>
    <row r="45" spans="1:6" x14ac:dyDescent="0.3">
      <c r="A45" t="s">
        <v>12</v>
      </c>
      <c r="B45" t="s">
        <v>85</v>
      </c>
      <c r="C45" t="str">
        <f>_xlfn.IFNA(_xlfn.XLOOKUP(B45, Variable_Map_Wide!$C$2:$C$42, Variable_Map_Wide!$A$2:$A$42), _xlfn.XLOOKUP(B45, Variable_Map_Wide!$D$2:$D$42, Variable_Map_Wide!$A$2:$A$42))</f>
        <v>sudden_improve</v>
      </c>
      <c r="D45" t="s">
        <v>157</v>
      </c>
      <c r="E45">
        <v>1</v>
      </c>
      <c r="F45" t="s">
        <v>157</v>
      </c>
    </row>
    <row r="46" spans="1:6" x14ac:dyDescent="0.3">
      <c r="A46" t="s">
        <v>13</v>
      </c>
      <c r="B46" t="s">
        <v>86</v>
      </c>
      <c r="C46" t="str">
        <f>_xlfn.IFNA(_xlfn.XLOOKUP(B46, Variable_Map_Wide!$C$2:$C$42, Variable_Map_Wide!$A$2:$A$42), _xlfn.XLOOKUP(B46, Variable_Map_Wide!$D$2:$D$42, Variable_Map_Wide!$A$2:$A$42))</f>
        <v>sudden_improve</v>
      </c>
      <c r="D46" t="s">
        <v>157</v>
      </c>
      <c r="E46">
        <v>1</v>
      </c>
      <c r="F46" t="s">
        <v>157</v>
      </c>
    </row>
    <row r="47" spans="1:6" x14ac:dyDescent="0.3">
      <c r="A47" t="s">
        <v>13</v>
      </c>
      <c r="B47" t="s">
        <v>86</v>
      </c>
      <c r="C47" t="str">
        <f>_xlfn.IFNA(_xlfn.XLOOKUP(B47, Variable_Map_Wide!$C$2:$C$42, Variable_Map_Wide!$A$2:$A$42), _xlfn.XLOOKUP(B47, Variable_Map_Wide!$D$2:$D$42, Variable_Map_Wide!$A$2:$A$42))</f>
        <v>sudden_improve</v>
      </c>
      <c r="D47" t="s">
        <v>159</v>
      </c>
      <c r="E47">
        <v>2</v>
      </c>
      <c r="F47" t="s">
        <v>159</v>
      </c>
    </row>
    <row r="48" spans="1:6" x14ac:dyDescent="0.3">
      <c r="A48" t="s">
        <v>12</v>
      </c>
      <c r="B48" t="s">
        <v>85</v>
      </c>
      <c r="C48" t="str">
        <f>_xlfn.IFNA(_xlfn.XLOOKUP(B48, Variable_Map_Wide!$C$2:$C$42, Variable_Map_Wide!$A$2:$A$42), _xlfn.XLOOKUP(B48, Variable_Map_Wide!$D$2:$D$42, Variable_Map_Wide!$A$2:$A$42))</f>
        <v>sudden_improve</v>
      </c>
      <c r="D48" t="s">
        <v>158</v>
      </c>
      <c r="E48">
        <v>2</v>
      </c>
      <c r="F48" t="s">
        <v>159</v>
      </c>
    </row>
    <row r="49" spans="1:6" x14ac:dyDescent="0.3">
      <c r="A49" t="s">
        <v>12</v>
      </c>
      <c r="B49" t="s">
        <v>91</v>
      </c>
      <c r="C49" t="str">
        <f>_xlfn.IFNA(_xlfn.XLOOKUP(B49, Variable_Map_Wide!$C$2:$C$42, Variable_Map_Wide!$A$2:$A$42), _xlfn.XLOOKUP(B49, Variable_Map_Wide!$D$2:$D$42, Variable_Map_Wide!$A$2:$A$42))</f>
        <v>sudden_worsen</v>
      </c>
      <c r="D49" t="s">
        <v>157</v>
      </c>
      <c r="E49">
        <v>1</v>
      </c>
      <c r="F49" t="s">
        <v>157</v>
      </c>
    </row>
    <row r="50" spans="1:6" x14ac:dyDescent="0.3">
      <c r="A50" t="s">
        <v>13</v>
      </c>
      <c r="B50" t="s">
        <v>92</v>
      </c>
      <c r="C50" t="str">
        <f>_xlfn.IFNA(_xlfn.XLOOKUP(B50, Variable_Map_Wide!$C$2:$C$42, Variable_Map_Wide!$A$2:$A$42), _xlfn.XLOOKUP(B50, Variable_Map_Wide!$D$2:$D$42, Variable_Map_Wide!$A$2:$A$42))</f>
        <v>sudden_worsen</v>
      </c>
      <c r="D50" t="s">
        <v>157</v>
      </c>
      <c r="E50">
        <v>1</v>
      </c>
      <c r="F50" t="s">
        <v>157</v>
      </c>
    </row>
    <row r="51" spans="1:6" x14ac:dyDescent="0.3">
      <c r="A51" t="s">
        <v>13</v>
      </c>
      <c r="B51" t="s">
        <v>92</v>
      </c>
      <c r="C51" t="str">
        <f>_xlfn.IFNA(_xlfn.XLOOKUP(B51, Variable_Map_Wide!$C$2:$C$42, Variable_Map_Wide!$A$2:$A$42), _xlfn.XLOOKUP(B51, Variable_Map_Wide!$D$2:$D$42, Variable_Map_Wide!$A$2:$A$42))</f>
        <v>sudden_worsen</v>
      </c>
      <c r="D51" t="s">
        <v>159</v>
      </c>
      <c r="E51">
        <v>2</v>
      </c>
      <c r="F51" t="s">
        <v>159</v>
      </c>
    </row>
    <row r="52" spans="1:6" x14ac:dyDescent="0.3">
      <c r="A52" t="s">
        <v>12</v>
      </c>
      <c r="B52" t="s">
        <v>91</v>
      </c>
      <c r="C52" t="str">
        <f>_xlfn.IFNA(_xlfn.XLOOKUP(B52, Variable_Map_Wide!$C$2:$C$42, Variable_Map_Wide!$A$2:$A$42), _xlfn.XLOOKUP(B52, Variable_Map_Wide!$D$2:$D$42, Variable_Map_Wide!$A$2:$A$42))</f>
        <v>sudden_worsen</v>
      </c>
      <c r="D52" t="s">
        <v>158</v>
      </c>
      <c r="E52">
        <v>2</v>
      </c>
      <c r="F52" t="s">
        <v>159</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
  <sheetViews>
    <sheetView workbookViewId="0"/>
  </sheetViews>
  <sheetFormatPr defaultColWidth="11.5546875" defaultRowHeight="14.4" x14ac:dyDescent="0.3"/>
  <sheetData>
    <row r="1" spans="1:3" x14ac:dyDescent="0.3">
      <c r="A1" t="s">
        <v>179</v>
      </c>
      <c r="B1" t="s">
        <v>180</v>
      </c>
      <c r="C1" t="s">
        <v>181</v>
      </c>
    </row>
    <row r="2" spans="1:3" x14ac:dyDescent="0.3">
      <c r="A2" t="s">
        <v>182</v>
      </c>
      <c r="B2" t="s">
        <v>183</v>
      </c>
      <c r="C2" t="s">
        <v>184</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2"/>
  <sheetViews>
    <sheetView workbookViewId="0"/>
  </sheetViews>
  <sheetFormatPr defaultColWidth="11.5546875" defaultRowHeight="14.4" x14ac:dyDescent="0.3"/>
  <sheetData>
    <row r="1" spans="1:4" x14ac:dyDescent="0.3">
      <c r="A1" t="s">
        <v>10</v>
      </c>
      <c r="B1" t="s">
        <v>11</v>
      </c>
      <c r="C1" t="s">
        <v>12</v>
      </c>
      <c r="D1" t="s">
        <v>13</v>
      </c>
    </row>
    <row r="2" spans="1:4" x14ac:dyDescent="0.3">
      <c r="A2" t="s">
        <v>14</v>
      </c>
      <c r="C2" t="s">
        <v>15</v>
      </c>
      <c r="D2" t="s">
        <v>15</v>
      </c>
    </row>
    <row r="3" spans="1:4" x14ac:dyDescent="0.3">
      <c r="A3" t="s">
        <v>16</v>
      </c>
      <c r="C3" t="s">
        <v>17</v>
      </c>
      <c r="D3" t="s">
        <v>17</v>
      </c>
    </row>
    <row r="4" spans="1:4" x14ac:dyDescent="0.3">
      <c r="A4" t="s">
        <v>18</v>
      </c>
      <c r="C4" t="s">
        <v>19</v>
      </c>
      <c r="D4" t="s">
        <v>20</v>
      </c>
    </row>
    <row r="5" spans="1:4" x14ac:dyDescent="0.3">
      <c r="A5" t="s">
        <v>21</v>
      </c>
      <c r="C5" t="s">
        <v>22</v>
      </c>
      <c r="D5" t="s">
        <v>23</v>
      </c>
    </row>
    <row r="6" spans="1:4" x14ac:dyDescent="0.3">
      <c r="A6" t="s">
        <v>24</v>
      </c>
      <c r="C6" t="s">
        <v>25</v>
      </c>
      <c r="D6" t="s">
        <v>26</v>
      </c>
    </row>
    <row r="7" spans="1:4" x14ac:dyDescent="0.3">
      <c r="A7" t="s">
        <v>27</v>
      </c>
      <c r="C7" t="s">
        <v>28</v>
      </c>
      <c r="D7" t="s">
        <v>29</v>
      </c>
    </row>
    <row r="8" spans="1:4" x14ac:dyDescent="0.3">
      <c r="A8" t="s">
        <v>30</v>
      </c>
      <c r="C8" t="s">
        <v>31</v>
      </c>
      <c r="D8" t="s">
        <v>32</v>
      </c>
    </row>
    <row r="9" spans="1:4" x14ac:dyDescent="0.3">
      <c r="A9" t="s">
        <v>33</v>
      </c>
      <c r="C9" t="s">
        <v>34</v>
      </c>
      <c r="D9" t="s">
        <v>35</v>
      </c>
    </row>
    <row r="10" spans="1:4" x14ac:dyDescent="0.3">
      <c r="A10" t="s">
        <v>36</v>
      </c>
      <c r="C10" t="s">
        <v>37</v>
      </c>
      <c r="D10" t="s">
        <v>38</v>
      </c>
    </row>
    <row r="11" spans="1:4" x14ac:dyDescent="0.3">
      <c r="A11" t="s">
        <v>39</v>
      </c>
      <c r="C11" t="s">
        <v>40</v>
      </c>
      <c r="D11" t="s">
        <v>41</v>
      </c>
    </row>
    <row r="12" spans="1:4" x14ac:dyDescent="0.3">
      <c r="A12" t="s">
        <v>42</v>
      </c>
      <c r="C12" t="s">
        <v>43</v>
      </c>
      <c r="D12" t="s">
        <v>44</v>
      </c>
    </row>
    <row r="13" spans="1:4" x14ac:dyDescent="0.3">
      <c r="A13" t="s">
        <v>45</v>
      </c>
      <c r="C13" t="s">
        <v>46</v>
      </c>
      <c r="D13" t="s">
        <v>47</v>
      </c>
    </row>
    <row r="14" spans="1:4" x14ac:dyDescent="0.3">
      <c r="A14" t="s">
        <v>48</v>
      </c>
      <c r="C14" t="s">
        <v>49</v>
      </c>
      <c r="D14" t="s">
        <v>50</v>
      </c>
    </row>
    <row r="15" spans="1:4" x14ac:dyDescent="0.3">
      <c r="A15" t="s">
        <v>51</v>
      </c>
      <c r="C15" t="s">
        <v>52</v>
      </c>
      <c r="D15" t="s">
        <v>53</v>
      </c>
    </row>
    <row r="16" spans="1:4" x14ac:dyDescent="0.3">
      <c r="A16" t="s">
        <v>54</v>
      </c>
      <c r="C16" t="s">
        <v>55</v>
      </c>
      <c r="D16" t="s">
        <v>56</v>
      </c>
    </row>
    <row r="17" spans="1:4" x14ac:dyDescent="0.3">
      <c r="A17" t="s">
        <v>57</v>
      </c>
      <c r="C17" t="s">
        <v>58</v>
      </c>
      <c r="D17" t="s">
        <v>59</v>
      </c>
    </row>
    <row r="18" spans="1:4" x14ac:dyDescent="0.3">
      <c r="A18" t="s">
        <v>60</v>
      </c>
      <c r="C18" t="s">
        <v>61</v>
      </c>
      <c r="D18" t="s">
        <v>62</v>
      </c>
    </row>
    <row r="19" spans="1:4" x14ac:dyDescent="0.3">
      <c r="A19" t="s">
        <v>63</v>
      </c>
      <c r="C19" t="s">
        <v>64</v>
      </c>
      <c r="D19" t="s">
        <v>65</v>
      </c>
    </row>
    <row r="20" spans="1:4" x14ac:dyDescent="0.3">
      <c r="A20" t="s">
        <v>66</v>
      </c>
      <c r="C20" t="s">
        <v>67</v>
      </c>
      <c r="D20" t="s">
        <v>68</v>
      </c>
    </row>
    <row r="21" spans="1:4" x14ac:dyDescent="0.3">
      <c r="A21" t="s">
        <v>69</v>
      </c>
      <c r="C21" t="s">
        <v>70</v>
      </c>
      <c r="D21" t="s">
        <v>71</v>
      </c>
    </row>
    <row r="22" spans="1:4" x14ac:dyDescent="0.3">
      <c r="A22" t="s">
        <v>72</v>
      </c>
      <c r="C22" t="s">
        <v>73</v>
      </c>
      <c r="D22" t="s">
        <v>74</v>
      </c>
    </row>
    <row r="23" spans="1:4" x14ac:dyDescent="0.3">
      <c r="A23" t="s">
        <v>75</v>
      </c>
      <c r="C23" t="s">
        <v>76</v>
      </c>
      <c r="D23" t="s">
        <v>77</v>
      </c>
    </row>
    <row r="24" spans="1:4" x14ac:dyDescent="0.3">
      <c r="A24" t="s">
        <v>78</v>
      </c>
      <c r="C24" t="s">
        <v>79</v>
      </c>
      <c r="D24" t="s">
        <v>80</v>
      </c>
    </row>
    <row r="25" spans="1:4" x14ac:dyDescent="0.3">
      <c r="A25" t="s">
        <v>81</v>
      </c>
      <c r="C25" t="s">
        <v>82</v>
      </c>
      <c r="D25" t="s">
        <v>83</v>
      </c>
    </row>
    <row r="26" spans="1:4" x14ac:dyDescent="0.3">
      <c r="A26" t="s">
        <v>84</v>
      </c>
      <c r="C26" t="s">
        <v>85</v>
      </c>
      <c r="D26" t="s">
        <v>86</v>
      </c>
    </row>
    <row r="27" spans="1:4" x14ac:dyDescent="0.3">
      <c r="A27" t="s">
        <v>87</v>
      </c>
      <c r="C27" t="s">
        <v>88</v>
      </c>
      <c r="D27" t="s">
        <v>89</v>
      </c>
    </row>
    <row r="28" spans="1:4" x14ac:dyDescent="0.3">
      <c r="A28" t="s">
        <v>90</v>
      </c>
      <c r="C28" t="s">
        <v>91</v>
      </c>
      <c r="D28" t="s">
        <v>92</v>
      </c>
    </row>
    <row r="29" spans="1:4" x14ac:dyDescent="0.3">
      <c r="A29" t="s">
        <v>93</v>
      </c>
      <c r="C29" t="s">
        <v>94</v>
      </c>
      <c r="D29" t="s">
        <v>95</v>
      </c>
    </row>
    <row r="30" spans="1:4" x14ac:dyDescent="0.3">
      <c r="A30" t="s">
        <v>96</v>
      </c>
      <c r="C30" t="s">
        <v>97</v>
      </c>
      <c r="D30" t="s">
        <v>98</v>
      </c>
    </row>
    <row r="31" spans="1:4" x14ac:dyDescent="0.3">
      <c r="A31" t="s">
        <v>99</v>
      </c>
      <c r="C31" t="s">
        <v>100</v>
      </c>
      <c r="D31" t="s">
        <v>101</v>
      </c>
    </row>
    <row r="32" spans="1:4" x14ac:dyDescent="0.3">
      <c r="A32" t="s">
        <v>102</v>
      </c>
      <c r="C32" t="s">
        <v>103</v>
      </c>
      <c r="D32" t="s">
        <v>104</v>
      </c>
    </row>
    <row r="33" spans="1:4" x14ac:dyDescent="0.3">
      <c r="A33" t="s">
        <v>105</v>
      </c>
      <c r="C33" t="s">
        <v>106</v>
      </c>
      <c r="D33" t="s">
        <v>107</v>
      </c>
    </row>
    <row r="34" spans="1:4" x14ac:dyDescent="0.3">
      <c r="A34" t="s">
        <v>108</v>
      </c>
      <c r="C34" t="s">
        <v>109</v>
      </c>
      <c r="D34" t="s">
        <v>110</v>
      </c>
    </row>
    <row r="35" spans="1:4" x14ac:dyDescent="0.3">
      <c r="A35" t="s">
        <v>111</v>
      </c>
      <c r="C35" t="s">
        <v>112</v>
      </c>
      <c r="D35" t="s">
        <v>113</v>
      </c>
    </row>
    <row r="36" spans="1:4" x14ac:dyDescent="0.3">
      <c r="A36" t="s">
        <v>114</v>
      </c>
      <c r="C36" t="s">
        <v>115</v>
      </c>
      <c r="D36" t="s">
        <v>116</v>
      </c>
    </row>
    <row r="37" spans="1:4" x14ac:dyDescent="0.3">
      <c r="A37" t="s">
        <v>117</v>
      </c>
      <c r="C37" t="s">
        <v>118</v>
      </c>
      <c r="D37" t="s">
        <v>119</v>
      </c>
    </row>
    <row r="38" spans="1:4" x14ac:dyDescent="0.3">
      <c r="A38" t="s">
        <v>120</v>
      </c>
      <c r="C38" t="s">
        <v>121</v>
      </c>
      <c r="D38" t="s">
        <v>122</v>
      </c>
    </row>
    <row r="39" spans="1:4" x14ac:dyDescent="0.3">
      <c r="A39" t="s">
        <v>123</v>
      </c>
      <c r="C39" t="s">
        <v>124</v>
      </c>
      <c r="D39" t="s">
        <v>125</v>
      </c>
    </row>
    <row r="40" spans="1:4" x14ac:dyDescent="0.3">
      <c r="A40" t="s">
        <v>126</v>
      </c>
      <c r="C40" t="s">
        <v>127</v>
      </c>
      <c r="D40" t="s">
        <v>128</v>
      </c>
    </row>
    <row r="41" spans="1:4" x14ac:dyDescent="0.3">
      <c r="A41" t="s">
        <v>129</v>
      </c>
      <c r="C41" t="s">
        <v>130</v>
      </c>
      <c r="D41" t="s">
        <v>131</v>
      </c>
    </row>
    <row r="42" spans="1:4" x14ac:dyDescent="0.3">
      <c r="A42" t="s">
        <v>132</v>
      </c>
      <c r="C42" t="s">
        <v>133</v>
      </c>
      <c r="D42" t="s">
        <v>134</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14"/>
  <sheetViews>
    <sheetView tabSelected="1" workbookViewId="0">
      <selection activeCell="B11" sqref="B11:D13"/>
    </sheetView>
  </sheetViews>
  <sheetFormatPr defaultColWidth="11.5546875" defaultRowHeight="14.4" x14ac:dyDescent="0.3"/>
  <cols>
    <col min="2" max="2" width="35.33203125" bestFit="1" customWidth="1"/>
    <col min="3" max="3" width="18" bestFit="1" customWidth="1"/>
  </cols>
  <sheetData>
    <row r="1" spans="1:4" x14ac:dyDescent="0.3">
      <c r="A1" t="s">
        <v>270</v>
      </c>
      <c r="B1" t="s">
        <v>271</v>
      </c>
      <c r="C1" t="s">
        <v>272</v>
      </c>
      <c r="D1" t="s">
        <v>273</v>
      </c>
    </row>
    <row r="2" spans="1:4" x14ac:dyDescent="0.3">
      <c r="A2">
        <v>1</v>
      </c>
      <c r="B2" t="s">
        <v>274</v>
      </c>
      <c r="C2" t="s">
        <v>275</v>
      </c>
      <c r="D2" t="b">
        <v>0</v>
      </c>
    </row>
    <row r="3" spans="1:4" x14ac:dyDescent="0.3">
      <c r="A3">
        <v>2</v>
      </c>
      <c r="B3" t="s">
        <v>276</v>
      </c>
      <c r="C3" t="s">
        <v>275</v>
      </c>
      <c r="D3" t="b">
        <v>0</v>
      </c>
    </row>
    <row r="4" spans="1:4" x14ac:dyDescent="0.3">
      <c r="A4">
        <v>3</v>
      </c>
      <c r="B4" t="s">
        <v>277</v>
      </c>
      <c r="C4" t="s">
        <v>275</v>
      </c>
      <c r="D4" t="b">
        <v>0</v>
      </c>
    </row>
    <row r="5" spans="1:4" x14ac:dyDescent="0.3">
      <c r="A5">
        <v>4</v>
      </c>
      <c r="B5" t="s">
        <v>278</v>
      </c>
      <c r="C5" t="s">
        <v>275</v>
      </c>
      <c r="D5" t="b">
        <v>0</v>
      </c>
    </row>
    <row r="6" spans="1:4" x14ac:dyDescent="0.3">
      <c r="A6">
        <v>5</v>
      </c>
      <c r="B6" t="s">
        <v>279</v>
      </c>
      <c r="C6" t="s">
        <v>275</v>
      </c>
      <c r="D6" t="b">
        <v>0</v>
      </c>
    </row>
    <row r="7" spans="1:4" x14ac:dyDescent="0.3">
      <c r="A7">
        <v>6</v>
      </c>
      <c r="B7" t="s">
        <v>280</v>
      </c>
      <c r="C7" t="s">
        <v>275</v>
      </c>
      <c r="D7" t="b">
        <v>0</v>
      </c>
    </row>
    <row r="8" spans="1:4" x14ac:dyDescent="0.3">
      <c r="A8">
        <v>7</v>
      </c>
      <c r="B8" t="s">
        <v>280</v>
      </c>
      <c r="C8" t="s">
        <v>275</v>
      </c>
      <c r="D8" t="b">
        <v>0</v>
      </c>
    </row>
    <row r="9" spans="1:4" x14ac:dyDescent="0.3">
      <c r="A9">
        <v>8</v>
      </c>
      <c r="B9" t="s">
        <v>281</v>
      </c>
      <c r="C9" t="s">
        <v>275</v>
      </c>
      <c r="D9" t="b">
        <v>0</v>
      </c>
    </row>
    <row r="10" spans="1:4" x14ac:dyDescent="0.3">
      <c r="A10">
        <v>9</v>
      </c>
      <c r="B10" t="s">
        <v>282</v>
      </c>
      <c r="C10" t="s">
        <v>275</v>
      </c>
      <c r="D10" t="b">
        <v>0</v>
      </c>
    </row>
    <row r="11" spans="1:4" x14ac:dyDescent="0.3">
      <c r="A11">
        <v>10</v>
      </c>
      <c r="B11" t="s">
        <v>283</v>
      </c>
      <c r="C11" t="s">
        <v>275</v>
      </c>
      <c r="D11" t="b">
        <v>0</v>
      </c>
    </row>
    <row r="12" spans="1:4" x14ac:dyDescent="0.3">
      <c r="A12">
        <v>11</v>
      </c>
      <c r="B12" t="s">
        <v>283</v>
      </c>
      <c r="C12" t="s">
        <v>275</v>
      </c>
      <c r="D12" t="b">
        <v>0</v>
      </c>
    </row>
    <row r="13" spans="1:4" x14ac:dyDescent="0.3">
      <c r="A13">
        <v>12</v>
      </c>
      <c r="B13" t="s">
        <v>283</v>
      </c>
      <c r="C13" t="s">
        <v>275</v>
      </c>
      <c r="D13" t="b">
        <v>0</v>
      </c>
    </row>
    <row r="14" spans="1:4" x14ac:dyDescent="0.3">
      <c r="A14">
        <v>13</v>
      </c>
      <c r="B14" t="s">
        <v>284</v>
      </c>
      <c r="C14" t="s">
        <v>275</v>
      </c>
      <c r="D14" t="b">
        <v>0</v>
      </c>
    </row>
    <row r="15" spans="1:4" x14ac:dyDescent="0.3">
      <c r="A15">
        <v>14</v>
      </c>
      <c r="B15" t="s">
        <v>285</v>
      </c>
      <c r="C15" t="s">
        <v>275</v>
      </c>
      <c r="D15" t="b">
        <v>0</v>
      </c>
    </row>
    <row r="16" spans="1:4" x14ac:dyDescent="0.3">
      <c r="A16">
        <v>15</v>
      </c>
      <c r="B16" t="s">
        <v>285</v>
      </c>
      <c r="C16" t="s">
        <v>275</v>
      </c>
      <c r="D16" t="b">
        <v>0</v>
      </c>
    </row>
    <row r="17" spans="1:4" x14ac:dyDescent="0.3">
      <c r="A17">
        <v>16</v>
      </c>
      <c r="B17" t="s">
        <v>281</v>
      </c>
      <c r="C17" t="s">
        <v>275</v>
      </c>
      <c r="D17" t="b">
        <v>0</v>
      </c>
    </row>
    <row r="18" spans="1:4" x14ac:dyDescent="0.3">
      <c r="A18">
        <v>17</v>
      </c>
      <c r="B18" t="s">
        <v>286</v>
      </c>
      <c r="C18" t="s">
        <v>275</v>
      </c>
      <c r="D18" t="b">
        <v>0</v>
      </c>
    </row>
    <row r="19" spans="1:4" x14ac:dyDescent="0.3">
      <c r="A19">
        <v>18</v>
      </c>
      <c r="B19" t="s">
        <v>287</v>
      </c>
      <c r="C19" t="s">
        <v>275</v>
      </c>
      <c r="D19" t="b">
        <v>0</v>
      </c>
    </row>
    <row r="20" spans="1:4" x14ac:dyDescent="0.3">
      <c r="A20">
        <v>19</v>
      </c>
      <c r="B20" t="s">
        <v>286</v>
      </c>
      <c r="C20" t="s">
        <v>275</v>
      </c>
      <c r="D20" t="b">
        <v>0</v>
      </c>
    </row>
    <row r="21" spans="1:4" x14ac:dyDescent="0.3">
      <c r="A21">
        <v>20</v>
      </c>
      <c r="B21" t="s">
        <v>288</v>
      </c>
      <c r="C21" t="s">
        <v>275</v>
      </c>
      <c r="D21" t="b">
        <v>0</v>
      </c>
    </row>
    <row r="22" spans="1:4" x14ac:dyDescent="0.3">
      <c r="A22">
        <v>21</v>
      </c>
      <c r="B22" t="s">
        <v>289</v>
      </c>
      <c r="C22" t="s">
        <v>275</v>
      </c>
      <c r="D22" t="b">
        <v>0</v>
      </c>
    </row>
    <row r="23" spans="1:4" x14ac:dyDescent="0.3">
      <c r="A23">
        <v>22</v>
      </c>
      <c r="B23" t="s">
        <v>289</v>
      </c>
      <c r="C23" t="s">
        <v>275</v>
      </c>
      <c r="D23" t="b">
        <v>0</v>
      </c>
    </row>
    <row r="24" spans="1:4" x14ac:dyDescent="0.3">
      <c r="A24">
        <v>23</v>
      </c>
      <c r="B24" t="s">
        <v>290</v>
      </c>
      <c r="C24" t="s">
        <v>275</v>
      </c>
      <c r="D24" t="b">
        <v>0</v>
      </c>
    </row>
    <row r="25" spans="1:4" x14ac:dyDescent="0.3">
      <c r="A25">
        <v>24</v>
      </c>
      <c r="B25" t="s">
        <v>290</v>
      </c>
      <c r="C25" t="s">
        <v>275</v>
      </c>
      <c r="D25" t="b">
        <v>0</v>
      </c>
    </row>
    <row r="26" spans="1:4" x14ac:dyDescent="0.3">
      <c r="A26">
        <v>25</v>
      </c>
      <c r="B26" t="s">
        <v>291</v>
      </c>
      <c r="C26" t="s">
        <v>275</v>
      </c>
      <c r="D26" t="b">
        <v>0</v>
      </c>
    </row>
    <row r="27" spans="1:4" x14ac:dyDescent="0.3">
      <c r="A27">
        <v>26</v>
      </c>
      <c r="B27" t="s">
        <v>292</v>
      </c>
      <c r="C27" t="s">
        <v>275</v>
      </c>
      <c r="D27" t="b">
        <v>0</v>
      </c>
    </row>
    <row r="28" spans="1:4" x14ac:dyDescent="0.3">
      <c r="A28">
        <v>27</v>
      </c>
      <c r="B28" t="s">
        <v>292</v>
      </c>
      <c r="C28" t="s">
        <v>275</v>
      </c>
      <c r="D28" t="b">
        <v>0</v>
      </c>
    </row>
    <row r="29" spans="1:4" x14ac:dyDescent="0.3">
      <c r="A29">
        <v>28</v>
      </c>
      <c r="B29" t="s">
        <v>292</v>
      </c>
      <c r="C29" t="s">
        <v>275</v>
      </c>
      <c r="D29" t="b">
        <v>0</v>
      </c>
    </row>
    <row r="30" spans="1:4" x14ac:dyDescent="0.3">
      <c r="A30">
        <v>29</v>
      </c>
      <c r="B30" t="s">
        <v>292</v>
      </c>
      <c r="C30" t="s">
        <v>275</v>
      </c>
      <c r="D30" t="b">
        <v>0</v>
      </c>
    </row>
    <row r="31" spans="1:4" x14ac:dyDescent="0.3">
      <c r="A31">
        <v>30</v>
      </c>
      <c r="B31" t="s">
        <v>293</v>
      </c>
      <c r="C31" t="s">
        <v>275</v>
      </c>
      <c r="D31" t="b">
        <v>0</v>
      </c>
    </row>
    <row r="32" spans="1:4" x14ac:dyDescent="0.3">
      <c r="A32">
        <v>31</v>
      </c>
      <c r="B32" t="s">
        <v>294</v>
      </c>
      <c r="C32" t="s">
        <v>275</v>
      </c>
      <c r="D32" t="b">
        <v>0</v>
      </c>
    </row>
    <row r="33" spans="1:4" x14ac:dyDescent="0.3">
      <c r="A33">
        <v>32</v>
      </c>
      <c r="B33" t="s">
        <v>294</v>
      </c>
      <c r="C33" t="s">
        <v>275</v>
      </c>
      <c r="D33" t="b">
        <v>0</v>
      </c>
    </row>
    <row r="34" spans="1:4" x14ac:dyDescent="0.3">
      <c r="A34">
        <v>33</v>
      </c>
      <c r="B34" t="s">
        <v>294</v>
      </c>
      <c r="C34" t="s">
        <v>275</v>
      </c>
      <c r="D34" t="b">
        <v>0</v>
      </c>
    </row>
    <row r="35" spans="1:4" x14ac:dyDescent="0.3">
      <c r="A35">
        <v>34</v>
      </c>
      <c r="B35" t="s">
        <v>295</v>
      </c>
      <c r="C35" t="s">
        <v>275</v>
      </c>
      <c r="D35" t="b">
        <v>0</v>
      </c>
    </row>
    <row r="36" spans="1:4" x14ac:dyDescent="0.3">
      <c r="A36">
        <v>35</v>
      </c>
      <c r="B36" t="s">
        <v>295</v>
      </c>
      <c r="C36" t="s">
        <v>275</v>
      </c>
      <c r="D36" t="b">
        <v>0</v>
      </c>
    </row>
    <row r="37" spans="1:4" x14ac:dyDescent="0.3">
      <c r="A37">
        <v>36</v>
      </c>
      <c r="B37" t="s">
        <v>290</v>
      </c>
      <c r="C37" t="s">
        <v>275</v>
      </c>
      <c r="D37" t="b">
        <v>0</v>
      </c>
    </row>
    <row r="38" spans="1:4" x14ac:dyDescent="0.3">
      <c r="A38">
        <v>37</v>
      </c>
      <c r="B38" t="s">
        <v>296</v>
      </c>
      <c r="C38" t="s">
        <v>275</v>
      </c>
      <c r="D38" t="b">
        <v>0</v>
      </c>
    </row>
    <row r="39" spans="1:4" x14ac:dyDescent="0.3">
      <c r="A39">
        <v>38</v>
      </c>
      <c r="B39" t="s">
        <v>297</v>
      </c>
      <c r="C39" t="s">
        <v>275</v>
      </c>
      <c r="D39" t="b">
        <v>0</v>
      </c>
    </row>
    <row r="40" spans="1:4" x14ac:dyDescent="0.3">
      <c r="A40">
        <v>39</v>
      </c>
      <c r="B40" t="s">
        <v>289</v>
      </c>
      <c r="C40" t="s">
        <v>275</v>
      </c>
      <c r="D40" t="b">
        <v>0</v>
      </c>
    </row>
    <row r="41" spans="1:4" x14ac:dyDescent="0.3">
      <c r="A41">
        <v>40</v>
      </c>
      <c r="B41" t="s">
        <v>298</v>
      </c>
      <c r="C41" t="s">
        <v>275</v>
      </c>
      <c r="D41" t="b">
        <v>0</v>
      </c>
    </row>
    <row r="42" spans="1:4" x14ac:dyDescent="0.3">
      <c r="A42">
        <v>41</v>
      </c>
      <c r="B42" t="s">
        <v>290</v>
      </c>
      <c r="C42" t="s">
        <v>275</v>
      </c>
      <c r="D42" t="b">
        <v>0</v>
      </c>
    </row>
    <row r="43" spans="1:4" x14ac:dyDescent="0.3">
      <c r="A43">
        <v>42</v>
      </c>
      <c r="B43" t="s">
        <v>299</v>
      </c>
      <c r="C43" t="s">
        <v>275</v>
      </c>
      <c r="D43" t="b">
        <v>0</v>
      </c>
    </row>
    <row r="44" spans="1:4" x14ac:dyDescent="0.3">
      <c r="A44">
        <v>43</v>
      </c>
      <c r="B44" t="s">
        <v>291</v>
      </c>
      <c r="C44" t="s">
        <v>275</v>
      </c>
      <c r="D44" t="b">
        <v>0</v>
      </c>
    </row>
    <row r="45" spans="1:4" x14ac:dyDescent="0.3">
      <c r="A45">
        <v>44</v>
      </c>
      <c r="B45" t="s">
        <v>300</v>
      </c>
      <c r="C45" t="s">
        <v>275</v>
      </c>
      <c r="D45" t="b">
        <v>0</v>
      </c>
    </row>
    <row r="46" spans="1:4" x14ac:dyDescent="0.3">
      <c r="A46">
        <v>45</v>
      </c>
      <c r="B46" t="s">
        <v>301</v>
      </c>
      <c r="C46" t="s">
        <v>275</v>
      </c>
      <c r="D46" t="b">
        <v>0</v>
      </c>
    </row>
    <row r="47" spans="1:4" x14ac:dyDescent="0.3">
      <c r="A47">
        <v>46</v>
      </c>
      <c r="B47" t="s">
        <v>287</v>
      </c>
      <c r="C47" t="s">
        <v>275</v>
      </c>
      <c r="D47" t="b">
        <v>0</v>
      </c>
    </row>
    <row r="48" spans="1:4" x14ac:dyDescent="0.3">
      <c r="A48">
        <v>47</v>
      </c>
      <c r="B48" t="s">
        <v>300</v>
      </c>
      <c r="C48" t="s">
        <v>275</v>
      </c>
      <c r="D48" t="b">
        <v>0</v>
      </c>
    </row>
    <row r="49" spans="1:4" x14ac:dyDescent="0.3">
      <c r="A49">
        <v>48</v>
      </c>
      <c r="B49" t="s">
        <v>302</v>
      </c>
      <c r="C49" t="s">
        <v>275</v>
      </c>
      <c r="D49" t="b">
        <v>0</v>
      </c>
    </row>
    <row r="50" spans="1:4" x14ac:dyDescent="0.3">
      <c r="A50">
        <v>49</v>
      </c>
      <c r="B50" t="s">
        <v>303</v>
      </c>
      <c r="C50" t="s">
        <v>275</v>
      </c>
      <c r="D50" t="b">
        <v>0</v>
      </c>
    </row>
    <row r="51" spans="1:4" x14ac:dyDescent="0.3">
      <c r="A51">
        <v>50</v>
      </c>
      <c r="B51" t="s">
        <v>304</v>
      </c>
      <c r="C51" t="s">
        <v>275</v>
      </c>
      <c r="D51" t="b">
        <v>0</v>
      </c>
    </row>
    <row r="52" spans="1:4" x14ac:dyDescent="0.3">
      <c r="A52">
        <v>51</v>
      </c>
      <c r="B52" t="s">
        <v>305</v>
      </c>
      <c r="C52" t="s">
        <v>275</v>
      </c>
      <c r="D52" t="b">
        <v>0</v>
      </c>
    </row>
    <row r="53" spans="1:4" x14ac:dyDescent="0.3">
      <c r="A53">
        <v>52</v>
      </c>
      <c r="B53" t="s">
        <v>306</v>
      </c>
      <c r="C53" t="s">
        <v>275</v>
      </c>
      <c r="D53" t="b">
        <v>0</v>
      </c>
    </row>
    <row r="54" spans="1:4" x14ac:dyDescent="0.3">
      <c r="A54">
        <v>53</v>
      </c>
      <c r="B54" t="s">
        <v>307</v>
      </c>
      <c r="C54" t="s">
        <v>275</v>
      </c>
      <c r="D54" t="b">
        <v>0</v>
      </c>
    </row>
    <row r="55" spans="1:4" x14ac:dyDescent="0.3">
      <c r="A55">
        <v>54</v>
      </c>
      <c r="B55" t="s">
        <v>308</v>
      </c>
      <c r="C55" t="s">
        <v>275</v>
      </c>
      <c r="D55" t="b">
        <v>0</v>
      </c>
    </row>
    <row r="56" spans="1:4" x14ac:dyDescent="0.3">
      <c r="A56">
        <v>55</v>
      </c>
      <c r="B56" t="s">
        <v>303</v>
      </c>
      <c r="C56" t="s">
        <v>275</v>
      </c>
      <c r="D56" t="b">
        <v>0</v>
      </c>
    </row>
    <row r="57" spans="1:4" x14ac:dyDescent="0.3">
      <c r="A57">
        <v>56</v>
      </c>
      <c r="B57" t="s">
        <v>304</v>
      </c>
      <c r="C57" t="s">
        <v>275</v>
      </c>
      <c r="D57" t="b">
        <v>0</v>
      </c>
    </row>
    <row r="58" spans="1:4" x14ac:dyDescent="0.3">
      <c r="A58">
        <v>57</v>
      </c>
      <c r="B58" t="s">
        <v>309</v>
      </c>
      <c r="C58" t="s">
        <v>275</v>
      </c>
      <c r="D58" t="b">
        <v>0</v>
      </c>
    </row>
    <row r="59" spans="1:4" x14ac:dyDescent="0.3">
      <c r="A59">
        <v>58</v>
      </c>
      <c r="B59" t="s">
        <v>303</v>
      </c>
      <c r="C59" t="s">
        <v>275</v>
      </c>
      <c r="D59" t="b">
        <v>0</v>
      </c>
    </row>
    <row r="60" spans="1:4" x14ac:dyDescent="0.3">
      <c r="A60">
        <v>59</v>
      </c>
      <c r="B60" t="s">
        <v>310</v>
      </c>
      <c r="C60" t="s">
        <v>275</v>
      </c>
      <c r="D60" t="b">
        <v>0</v>
      </c>
    </row>
    <row r="61" spans="1:4" x14ac:dyDescent="0.3">
      <c r="A61">
        <v>60</v>
      </c>
      <c r="B61" t="s">
        <v>311</v>
      </c>
      <c r="C61" t="s">
        <v>275</v>
      </c>
      <c r="D61" t="b">
        <v>0</v>
      </c>
    </row>
    <row r="62" spans="1:4" x14ac:dyDescent="0.3">
      <c r="A62">
        <v>61</v>
      </c>
      <c r="B62" t="s">
        <v>304</v>
      </c>
      <c r="C62" t="s">
        <v>275</v>
      </c>
      <c r="D62" t="b">
        <v>0</v>
      </c>
    </row>
    <row r="63" spans="1:4" x14ac:dyDescent="0.3">
      <c r="A63">
        <v>62</v>
      </c>
      <c r="B63" t="s">
        <v>302</v>
      </c>
      <c r="C63" t="s">
        <v>275</v>
      </c>
      <c r="D63" t="b">
        <v>0</v>
      </c>
    </row>
    <row r="64" spans="1:4" x14ac:dyDescent="0.3">
      <c r="A64">
        <v>63</v>
      </c>
      <c r="B64" t="s">
        <v>306</v>
      </c>
      <c r="C64" t="s">
        <v>275</v>
      </c>
      <c r="D64" t="b">
        <v>0</v>
      </c>
    </row>
    <row r="65" spans="1:4" x14ac:dyDescent="0.3">
      <c r="A65">
        <v>64</v>
      </c>
      <c r="B65" t="s">
        <v>312</v>
      </c>
      <c r="C65" t="s">
        <v>275</v>
      </c>
      <c r="D65" t="b">
        <v>0</v>
      </c>
    </row>
    <row r="66" spans="1:4" x14ac:dyDescent="0.3">
      <c r="A66">
        <v>65</v>
      </c>
      <c r="B66" t="s">
        <v>313</v>
      </c>
      <c r="C66" t="s">
        <v>275</v>
      </c>
      <c r="D66" t="b">
        <v>0</v>
      </c>
    </row>
    <row r="67" spans="1:4" x14ac:dyDescent="0.3">
      <c r="A67">
        <v>66</v>
      </c>
      <c r="B67" t="s">
        <v>314</v>
      </c>
      <c r="C67" t="s">
        <v>275</v>
      </c>
      <c r="D67" t="b">
        <v>0</v>
      </c>
    </row>
    <row r="68" spans="1:4" x14ac:dyDescent="0.3">
      <c r="A68">
        <v>67</v>
      </c>
      <c r="B68" t="s">
        <v>315</v>
      </c>
      <c r="C68" t="s">
        <v>275</v>
      </c>
      <c r="D68" t="b">
        <v>0</v>
      </c>
    </row>
    <row r="69" spans="1:4" x14ac:dyDescent="0.3">
      <c r="A69">
        <v>68</v>
      </c>
      <c r="B69" t="s">
        <v>316</v>
      </c>
      <c r="C69" t="s">
        <v>275</v>
      </c>
      <c r="D69" t="b">
        <v>0</v>
      </c>
    </row>
    <row r="70" spans="1:4" x14ac:dyDescent="0.3">
      <c r="A70">
        <v>69</v>
      </c>
      <c r="B70" t="s">
        <v>317</v>
      </c>
      <c r="C70" t="s">
        <v>275</v>
      </c>
      <c r="D70" t="b">
        <v>0</v>
      </c>
    </row>
    <row r="71" spans="1:4" x14ac:dyDescent="0.3">
      <c r="A71">
        <v>70</v>
      </c>
      <c r="B71" t="s">
        <v>313</v>
      </c>
      <c r="C71" t="s">
        <v>275</v>
      </c>
      <c r="D71" t="b">
        <v>0</v>
      </c>
    </row>
    <row r="72" spans="1:4" x14ac:dyDescent="0.3">
      <c r="A72">
        <v>71</v>
      </c>
      <c r="B72" t="s">
        <v>307</v>
      </c>
      <c r="C72" t="s">
        <v>275</v>
      </c>
      <c r="D72" t="b">
        <v>0</v>
      </c>
    </row>
    <row r="73" spans="1:4" x14ac:dyDescent="0.3">
      <c r="A73">
        <v>72</v>
      </c>
      <c r="B73" t="s">
        <v>307</v>
      </c>
      <c r="C73" t="s">
        <v>275</v>
      </c>
      <c r="D73" t="b">
        <v>0</v>
      </c>
    </row>
    <row r="74" spans="1:4" x14ac:dyDescent="0.3">
      <c r="A74">
        <v>73</v>
      </c>
      <c r="B74" t="s">
        <v>318</v>
      </c>
      <c r="C74" t="s">
        <v>275</v>
      </c>
      <c r="D74" t="b">
        <v>0</v>
      </c>
    </row>
    <row r="75" spans="1:4" x14ac:dyDescent="0.3">
      <c r="A75">
        <v>74</v>
      </c>
      <c r="B75" t="s">
        <v>319</v>
      </c>
      <c r="C75" t="s">
        <v>275</v>
      </c>
      <c r="D75" t="b">
        <v>0</v>
      </c>
    </row>
    <row r="76" spans="1:4" x14ac:dyDescent="0.3">
      <c r="A76">
        <v>75</v>
      </c>
      <c r="B76" t="s">
        <v>320</v>
      </c>
      <c r="C76" t="s">
        <v>275</v>
      </c>
      <c r="D76" t="b">
        <v>0</v>
      </c>
    </row>
    <row r="77" spans="1:4" x14ac:dyDescent="0.3">
      <c r="A77">
        <v>76</v>
      </c>
      <c r="B77" t="s">
        <v>320</v>
      </c>
      <c r="C77" t="s">
        <v>275</v>
      </c>
      <c r="D77" t="b">
        <v>0</v>
      </c>
    </row>
    <row r="78" spans="1:4" x14ac:dyDescent="0.3">
      <c r="A78">
        <v>77</v>
      </c>
      <c r="B78" t="s">
        <v>321</v>
      </c>
      <c r="C78" t="s">
        <v>275</v>
      </c>
      <c r="D78" t="b">
        <v>0</v>
      </c>
    </row>
    <row r="79" spans="1:4" x14ac:dyDescent="0.3">
      <c r="A79">
        <v>78</v>
      </c>
      <c r="B79" t="s">
        <v>322</v>
      </c>
      <c r="C79" t="s">
        <v>275</v>
      </c>
      <c r="D79" t="b">
        <v>0</v>
      </c>
    </row>
    <row r="80" spans="1:4" x14ac:dyDescent="0.3">
      <c r="A80">
        <v>79</v>
      </c>
      <c r="B80" t="s">
        <v>323</v>
      </c>
      <c r="C80" t="s">
        <v>275</v>
      </c>
      <c r="D80" t="b">
        <v>0</v>
      </c>
    </row>
    <row r="81" spans="1:4" x14ac:dyDescent="0.3">
      <c r="A81">
        <v>80</v>
      </c>
      <c r="B81" t="s">
        <v>323</v>
      </c>
      <c r="C81" t="s">
        <v>275</v>
      </c>
      <c r="D81" t="b">
        <v>0</v>
      </c>
    </row>
    <row r="82" spans="1:4" x14ac:dyDescent="0.3">
      <c r="A82">
        <v>81</v>
      </c>
      <c r="B82" t="s">
        <v>324</v>
      </c>
      <c r="C82" t="s">
        <v>275</v>
      </c>
      <c r="D82" t="b">
        <v>0</v>
      </c>
    </row>
    <row r="83" spans="1:4" x14ac:dyDescent="0.3">
      <c r="A83">
        <v>82</v>
      </c>
      <c r="B83" t="s">
        <v>320</v>
      </c>
      <c r="C83" t="s">
        <v>275</v>
      </c>
      <c r="D83" t="b">
        <v>0</v>
      </c>
    </row>
    <row r="84" spans="1:4" x14ac:dyDescent="0.3">
      <c r="A84">
        <v>83</v>
      </c>
      <c r="B84" t="s">
        <v>325</v>
      </c>
      <c r="C84" t="s">
        <v>275</v>
      </c>
      <c r="D84" t="b">
        <v>0</v>
      </c>
    </row>
    <row r="85" spans="1:4" x14ac:dyDescent="0.3">
      <c r="A85">
        <v>84</v>
      </c>
      <c r="B85" t="s">
        <v>302</v>
      </c>
      <c r="C85" t="s">
        <v>275</v>
      </c>
      <c r="D85" t="b">
        <v>0</v>
      </c>
    </row>
    <row r="86" spans="1:4" x14ac:dyDescent="0.3">
      <c r="A86">
        <v>85</v>
      </c>
      <c r="B86" t="s">
        <v>326</v>
      </c>
      <c r="C86" t="s">
        <v>275</v>
      </c>
      <c r="D86" t="b">
        <v>0</v>
      </c>
    </row>
    <row r="87" spans="1:4" x14ac:dyDescent="0.3">
      <c r="A87">
        <v>86</v>
      </c>
      <c r="B87" t="s">
        <v>327</v>
      </c>
      <c r="C87" t="s">
        <v>275</v>
      </c>
      <c r="D87" t="b">
        <v>0</v>
      </c>
    </row>
    <row r="88" spans="1:4" x14ac:dyDescent="0.3">
      <c r="A88">
        <v>87</v>
      </c>
      <c r="B88" t="s">
        <v>295</v>
      </c>
      <c r="C88" t="s">
        <v>275</v>
      </c>
      <c r="D88" t="b">
        <v>0</v>
      </c>
    </row>
    <row r="89" spans="1:4" x14ac:dyDescent="0.3">
      <c r="A89">
        <v>88</v>
      </c>
      <c r="B89" t="s">
        <v>328</v>
      </c>
      <c r="C89" t="s">
        <v>275</v>
      </c>
      <c r="D89" t="b">
        <v>0</v>
      </c>
    </row>
    <row r="90" spans="1:4" x14ac:dyDescent="0.3">
      <c r="A90">
        <v>89</v>
      </c>
      <c r="B90" t="s">
        <v>304</v>
      </c>
      <c r="C90" t="s">
        <v>275</v>
      </c>
      <c r="D90" t="b">
        <v>0</v>
      </c>
    </row>
    <row r="91" spans="1:4" x14ac:dyDescent="0.3">
      <c r="A91">
        <v>90</v>
      </c>
      <c r="B91" t="s">
        <v>306</v>
      </c>
      <c r="C91" t="s">
        <v>275</v>
      </c>
      <c r="D91" t="b">
        <v>0</v>
      </c>
    </row>
    <row r="92" spans="1:4" x14ac:dyDescent="0.3">
      <c r="A92">
        <v>91</v>
      </c>
      <c r="B92" t="s">
        <v>329</v>
      </c>
      <c r="C92" t="s">
        <v>275</v>
      </c>
      <c r="D92" t="b">
        <v>0</v>
      </c>
    </row>
    <row r="93" spans="1:4" x14ac:dyDescent="0.3">
      <c r="A93">
        <v>92</v>
      </c>
      <c r="B93" t="s">
        <v>308</v>
      </c>
      <c r="C93" t="s">
        <v>275</v>
      </c>
      <c r="D93" t="b">
        <v>0</v>
      </c>
    </row>
    <row r="94" spans="1:4" x14ac:dyDescent="0.3">
      <c r="A94">
        <v>93</v>
      </c>
      <c r="B94" t="s">
        <v>310</v>
      </c>
      <c r="C94" t="s">
        <v>275</v>
      </c>
      <c r="D94" t="b">
        <v>0</v>
      </c>
    </row>
    <row r="95" spans="1:4" x14ac:dyDescent="0.3">
      <c r="A95">
        <v>94</v>
      </c>
      <c r="B95" t="s">
        <v>311</v>
      </c>
      <c r="C95" t="s">
        <v>275</v>
      </c>
      <c r="D95" t="b">
        <v>0</v>
      </c>
    </row>
    <row r="96" spans="1:4" x14ac:dyDescent="0.3">
      <c r="A96">
        <v>95</v>
      </c>
      <c r="B96" t="s">
        <v>317</v>
      </c>
      <c r="C96" t="s">
        <v>275</v>
      </c>
      <c r="D96" t="b">
        <v>0</v>
      </c>
    </row>
    <row r="97" spans="1:4" x14ac:dyDescent="0.3">
      <c r="A97">
        <v>96</v>
      </c>
      <c r="B97" t="s">
        <v>313</v>
      </c>
      <c r="C97" t="s">
        <v>275</v>
      </c>
      <c r="D97" t="b">
        <v>0</v>
      </c>
    </row>
    <row r="98" spans="1:4" x14ac:dyDescent="0.3">
      <c r="A98">
        <v>97</v>
      </c>
      <c r="B98" t="s">
        <v>307</v>
      </c>
      <c r="C98" t="s">
        <v>275</v>
      </c>
      <c r="D98" t="b">
        <v>0</v>
      </c>
    </row>
    <row r="99" spans="1:4" x14ac:dyDescent="0.3">
      <c r="A99">
        <v>98</v>
      </c>
      <c r="B99" t="s">
        <v>320</v>
      </c>
      <c r="C99" t="s">
        <v>275</v>
      </c>
      <c r="D99" t="b">
        <v>0</v>
      </c>
    </row>
    <row r="100" spans="1:4" x14ac:dyDescent="0.3">
      <c r="A100">
        <v>99</v>
      </c>
      <c r="B100" t="s">
        <v>330</v>
      </c>
      <c r="C100" t="s">
        <v>275</v>
      </c>
      <c r="D100" t="b">
        <v>0</v>
      </c>
    </row>
    <row r="101" spans="1:4" x14ac:dyDescent="0.3">
      <c r="A101">
        <v>100</v>
      </c>
      <c r="B101" t="s">
        <v>313</v>
      </c>
      <c r="C101" t="s">
        <v>275</v>
      </c>
      <c r="D101" t="b">
        <v>0</v>
      </c>
    </row>
    <row r="102" spans="1:4" x14ac:dyDescent="0.3">
      <c r="A102">
        <v>101</v>
      </c>
      <c r="B102" t="s">
        <v>331</v>
      </c>
      <c r="C102" t="s">
        <v>275</v>
      </c>
      <c r="D102" t="b">
        <v>0</v>
      </c>
    </row>
    <row r="103" spans="1:4" x14ac:dyDescent="0.3">
      <c r="A103">
        <v>102</v>
      </c>
      <c r="B103" t="s">
        <v>298</v>
      </c>
      <c r="C103" t="s">
        <v>275</v>
      </c>
      <c r="D103" t="b">
        <v>0</v>
      </c>
    </row>
    <row r="104" spans="1:4" x14ac:dyDescent="0.3">
      <c r="A104">
        <v>103</v>
      </c>
      <c r="B104" t="s">
        <v>332</v>
      </c>
      <c r="C104" t="s">
        <v>275</v>
      </c>
      <c r="D104" t="b">
        <v>0</v>
      </c>
    </row>
    <row r="105" spans="1:4" x14ac:dyDescent="0.3">
      <c r="A105">
        <v>104</v>
      </c>
      <c r="B105" t="s">
        <v>332</v>
      </c>
      <c r="C105" t="s">
        <v>275</v>
      </c>
      <c r="D105" t="b">
        <v>0</v>
      </c>
    </row>
    <row r="106" spans="1:4" x14ac:dyDescent="0.3">
      <c r="A106">
        <v>105</v>
      </c>
      <c r="B106" t="s">
        <v>283</v>
      </c>
      <c r="C106" t="s">
        <v>275</v>
      </c>
      <c r="D106" t="b">
        <v>0</v>
      </c>
    </row>
    <row r="107" spans="1:4" x14ac:dyDescent="0.3">
      <c r="A107">
        <v>106</v>
      </c>
      <c r="B107" t="s">
        <v>333</v>
      </c>
      <c r="C107" t="s">
        <v>275</v>
      </c>
      <c r="D107" t="b">
        <v>0</v>
      </c>
    </row>
    <row r="108" spans="1:4" x14ac:dyDescent="0.3">
      <c r="A108">
        <v>107</v>
      </c>
      <c r="B108" t="s">
        <v>292</v>
      </c>
      <c r="C108" t="s">
        <v>275</v>
      </c>
      <c r="D108" t="b">
        <v>0</v>
      </c>
    </row>
    <row r="109" spans="1:4" x14ac:dyDescent="0.3">
      <c r="A109">
        <v>108</v>
      </c>
      <c r="B109" t="s">
        <v>292</v>
      </c>
      <c r="C109" t="s">
        <v>275</v>
      </c>
      <c r="D109" t="b">
        <v>0</v>
      </c>
    </row>
    <row r="110" spans="1:4" x14ac:dyDescent="0.3">
      <c r="A110">
        <v>109</v>
      </c>
      <c r="B110" t="s">
        <v>292</v>
      </c>
      <c r="C110" t="s">
        <v>275</v>
      </c>
      <c r="D110" t="b">
        <v>0</v>
      </c>
    </row>
    <row r="111" spans="1:4" x14ac:dyDescent="0.3">
      <c r="A111">
        <v>110</v>
      </c>
      <c r="B111" t="s">
        <v>292</v>
      </c>
      <c r="C111" t="s">
        <v>275</v>
      </c>
      <c r="D111" t="b">
        <v>0</v>
      </c>
    </row>
    <row r="112" spans="1:4" x14ac:dyDescent="0.3">
      <c r="A112">
        <v>111</v>
      </c>
      <c r="B112" t="s">
        <v>292</v>
      </c>
      <c r="C112" t="s">
        <v>275</v>
      </c>
      <c r="D112" t="b">
        <v>0</v>
      </c>
    </row>
    <row r="113" spans="1:4" x14ac:dyDescent="0.3">
      <c r="A113">
        <v>112</v>
      </c>
      <c r="B113" t="s">
        <v>292</v>
      </c>
      <c r="C113" t="s">
        <v>275</v>
      </c>
      <c r="D113" t="b">
        <v>0</v>
      </c>
    </row>
    <row r="114" spans="1:4" x14ac:dyDescent="0.3">
      <c r="A114">
        <v>113</v>
      </c>
      <c r="B114" t="s">
        <v>292</v>
      </c>
      <c r="C114" t="s">
        <v>275</v>
      </c>
      <c r="D114" t="b">
        <v>0</v>
      </c>
    </row>
    <row r="115" spans="1:4" x14ac:dyDescent="0.3">
      <c r="A115">
        <v>114</v>
      </c>
      <c r="B115" t="s">
        <v>292</v>
      </c>
      <c r="C115" t="s">
        <v>275</v>
      </c>
      <c r="D115" t="b">
        <v>0</v>
      </c>
    </row>
    <row r="116" spans="1:4" x14ac:dyDescent="0.3">
      <c r="A116">
        <v>115</v>
      </c>
      <c r="B116" t="s">
        <v>292</v>
      </c>
      <c r="C116" t="s">
        <v>275</v>
      </c>
      <c r="D116" t="b">
        <v>0</v>
      </c>
    </row>
    <row r="117" spans="1:4" x14ac:dyDescent="0.3">
      <c r="A117">
        <v>116</v>
      </c>
      <c r="B117" t="s">
        <v>292</v>
      </c>
      <c r="C117" t="s">
        <v>275</v>
      </c>
      <c r="D117" t="b">
        <v>0</v>
      </c>
    </row>
    <row r="118" spans="1:4" x14ac:dyDescent="0.3">
      <c r="A118">
        <v>117</v>
      </c>
      <c r="B118" t="s">
        <v>292</v>
      </c>
      <c r="C118" t="s">
        <v>275</v>
      </c>
      <c r="D118" t="b">
        <v>0</v>
      </c>
    </row>
    <row r="119" spans="1:4" x14ac:dyDescent="0.3">
      <c r="A119">
        <v>118</v>
      </c>
      <c r="B119" t="s">
        <v>281</v>
      </c>
      <c r="C119" t="s">
        <v>275</v>
      </c>
      <c r="D119" t="b">
        <v>0</v>
      </c>
    </row>
    <row r="120" spans="1:4" x14ac:dyDescent="0.3">
      <c r="A120">
        <v>119</v>
      </c>
      <c r="B120" t="s">
        <v>281</v>
      </c>
      <c r="C120" t="s">
        <v>275</v>
      </c>
      <c r="D120" t="b">
        <v>0</v>
      </c>
    </row>
    <row r="121" spans="1:4" x14ac:dyDescent="0.3">
      <c r="A121">
        <v>120</v>
      </c>
      <c r="B121" t="s">
        <v>334</v>
      </c>
      <c r="C121" t="s">
        <v>275</v>
      </c>
      <c r="D121" t="b">
        <v>0</v>
      </c>
    </row>
    <row r="122" spans="1:4" x14ac:dyDescent="0.3">
      <c r="A122">
        <v>121</v>
      </c>
      <c r="B122" t="s">
        <v>335</v>
      </c>
      <c r="C122" t="s">
        <v>275</v>
      </c>
      <c r="D122" t="b">
        <v>0</v>
      </c>
    </row>
    <row r="123" spans="1:4" x14ac:dyDescent="0.3">
      <c r="A123">
        <v>122</v>
      </c>
      <c r="B123" t="s">
        <v>335</v>
      </c>
      <c r="C123" t="s">
        <v>275</v>
      </c>
      <c r="D123" t="b">
        <v>0</v>
      </c>
    </row>
    <row r="124" spans="1:4" x14ac:dyDescent="0.3">
      <c r="A124">
        <v>123</v>
      </c>
      <c r="B124" t="s">
        <v>335</v>
      </c>
      <c r="C124" t="s">
        <v>275</v>
      </c>
      <c r="D124" t="b">
        <v>0</v>
      </c>
    </row>
    <row r="125" spans="1:4" x14ac:dyDescent="0.3">
      <c r="A125">
        <v>124</v>
      </c>
      <c r="B125" t="s">
        <v>335</v>
      </c>
      <c r="C125" t="s">
        <v>275</v>
      </c>
      <c r="D125" t="b">
        <v>0</v>
      </c>
    </row>
    <row r="126" spans="1:4" x14ac:dyDescent="0.3">
      <c r="A126">
        <v>125</v>
      </c>
      <c r="B126" t="s">
        <v>280</v>
      </c>
      <c r="C126" t="s">
        <v>275</v>
      </c>
      <c r="D126" t="b">
        <v>0</v>
      </c>
    </row>
    <row r="127" spans="1:4" x14ac:dyDescent="0.3">
      <c r="A127">
        <v>126</v>
      </c>
      <c r="B127" t="s">
        <v>286</v>
      </c>
      <c r="C127" t="s">
        <v>275</v>
      </c>
      <c r="D127" t="b">
        <v>0</v>
      </c>
    </row>
    <row r="128" spans="1:4" x14ac:dyDescent="0.3">
      <c r="A128">
        <v>127</v>
      </c>
      <c r="B128" t="s">
        <v>286</v>
      </c>
      <c r="C128" t="s">
        <v>275</v>
      </c>
      <c r="D128" t="b">
        <v>0</v>
      </c>
    </row>
    <row r="129" spans="1:4" x14ac:dyDescent="0.3">
      <c r="A129">
        <v>128</v>
      </c>
      <c r="B129" t="s">
        <v>295</v>
      </c>
      <c r="C129" t="s">
        <v>275</v>
      </c>
      <c r="D129" t="b">
        <v>0</v>
      </c>
    </row>
    <row r="130" spans="1:4" x14ac:dyDescent="0.3">
      <c r="A130">
        <v>129</v>
      </c>
      <c r="B130" t="s">
        <v>289</v>
      </c>
      <c r="C130" t="s">
        <v>275</v>
      </c>
      <c r="D130" t="b">
        <v>0</v>
      </c>
    </row>
    <row r="131" spans="1:4" x14ac:dyDescent="0.3">
      <c r="A131">
        <v>130</v>
      </c>
      <c r="B131" t="s">
        <v>300</v>
      </c>
      <c r="C131" t="s">
        <v>275</v>
      </c>
      <c r="D131" t="b">
        <v>0</v>
      </c>
    </row>
    <row r="132" spans="1:4" x14ac:dyDescent="0.3">
      <c r="A132">
        <v>131</v>
      </c>
      <c r="B132" t="s">
        <v>300</v>
      </c>
      <c r="C132" t="s">
        <v>275</v>
      </c>
      <c r="D132" t="b">
        <v>0</v>
      </c>
    </row>
    <row r="133" spans="1:4" x14ac:dyDescent="0.3">
      <c r="A133">
        <v>132</v>
      </c>
      <c r="B133" t="s">
        <v>323</v>
      </c>
      <c r="C133" t="s">
        <v>275</v>
      </c>
      <c r="D133" t="b">
        <v>0</v>
      </c>
    </row>
    <row r="134" spans="1:4" x14ac:dyDescent="0.3">
      <c r="A134">
        <v>133</v>
      </c>
      <c r="B134" t="s">
        <v>319</v>
      </c>
      <c r="C134" t="s">
        <v>275</v>
      </c>
      <c r="D134" t="b">
        <v>0</v>
      </c>
    </row>
    <row r="135" spans="1:4" x14ac:dyDescent="0.3">
      <c r="A135">
        <v>134</v>
      </c>
      <c r="B135" t="s">
        <v>336</v>
      </c>
      <c r="C135" t="s">
        <v>275</v>
      </c>
      <c r="D135" t="b">
        <v>0</v>
      </c>
    </row>
    <row r="136" spans="1:4" x14ac:dyDescent="0.3">
      <c r="A136">
        <v>135</v>
      </c>
      <c r="B136" t="s">
        <v>336</v>
      </c>
      <c r="C136" t="s">
        <v>275</v>
      </c>
      <c r="D136" t="b">
        <v>0</v>
      </c>
    </row>
    <row r="137" spans="1:4" x14ac:dyDescent="0.3">
      <c r="A137">
        <v>136</v>
      </c>
      <c r="B137" t="s">
        <v>299</v>
      </c>
      <c r="C137" t="s">
        <v>275</v>
      </c>
      <c r="D137" t="b">
        <v>0</v>
      </c>
    </row>
    <row r="138" spans="1:4" x14ac:dyDescent="0.3">
      <c r="A138">
        <v>137</v>
      </c>
      <c r="B138" t="s">
        <v>299</v>
      </c>
      <c r="C138" t="s">
        <v>275</v>
      </c>
      <c r="D138" t="b">
        <v>0</v>
      </c>
    </row>
    <row r="139" spans="1:4" x14ac:dyDescent="0.3">
      <c r="A139">
        <v>138</v>
      </c>
      <c r="B139" t="s">
        <v>337</v>
      </c>
      <c r="C139" t="s">
        <v>275</v>
      </c>
      <c r="D139" t="b">
        <v>0</v>
      </c>
    </row>
    <row r="140" spans="1:4" x14ac:dyDescent="0.3">
      <c r="A140">
        <v>139</v>
      </c>
      <c r="B140" t="s">
        <v>337</v>
      </c>
      <c r="C140" t="s">
        <v>275</v>
      </c>
      <c r="D140" t="b">
        <v>0</v>
      </c>
    </row>
    <row r="141" spans="1:4" x14ac:dyDescent="0.3">
      <c r="A141">
        <v>140</v>
      </c>
      <c r="B141" t="s">
        <v>282</v>
      </c>
      <c r="C141" t="s">
        <v>275</v>
      </c>
      <c r="D141" t="b">
        <v>0</v>
      </c>
    </row>
    <row r="142" spans="1:4" x14ac:dyDescent="0.3">
      <c r="A142">
        <v>141</v>
      </c>
      <c r="B142" t="s">
        <v>289</v>
      </c>
      <c r="C142" t="s">
        <v>275</v>
      </c>
      <c r="D142" t="b">
        <v>0</v>
      </c>
    </row>
    <row r="143" spans="1:4" x14ac:dyDescent="0.3">
      <c r="A143">
        <v>142</v>
      </c>
      <c r="B143" t="s">
        <v>283</v>
      </c>
      <c r="C143" t="s">
        <v>275</v>
      </c>
      <c r="D143" t="b">
        <v>0</v>
      </c>
    </row>
    <row r="144" spans="1:4" x14ac:dyDescent="0.3">
      <c r="A144">
        <v>143</v>
      </c>
      <c r="B144" t="s">
        <v>291</v>
      </c>
      <c r="C144" t="s">
        <v>275</v>
      </c>
      <c r="D144" t="b">
        <v>0</v>
      </c>
    </row>
    <row r="145" spans="1:4" x14ac:dyDescent="0.3">
      <c r="A145">
        <v>144</v>
      </c>
      <c r="B145" t="s">
        <v>313</v>
      </c>
      <c r="C145" t="s">
        <v>275</v>
      </c>
      <c r="D145" t="b">
        <v>0</v>
      </c>
    </row>
    <row r="146" spans="1:4" x14ac:dyDescent="0.3">
      <c r="A146">
        <v>145</v>
      </c>
      <c r="B146" t="s">
        <v>335</v>
      </c>
      <c r="C146" t="s">
        <v>275</v>
      </c>
      <c r="D146" t="b">
        <v>0</v>
      </c>
    </row>
    <row r="147" spans="1:4" x14ac:dyDescent="0.3">
      <c r="A147">
        <v>146</v>
      </c>
      <c r="B147" t="s">
        <v>338</v>
      </c>
      <c r="C147" t="s">
        <v>275</v>
      </c>
      <c r="D147" t="b">
        <v>0</v>
      </c>
    </row>
    <row r="148" spans="1:4" x14ac:dyDescent="0.3">
      <c r="A148">
        <v>147</v>
      </c>
      <c r="B148" t="s">
        <v>320</v>
      </c>
      <c r="C148" t="s">
        <v>275</v>
      </c>
      <c r="D148" t="b">
        <v>0</v>
      </c>
    </row>
    <row r="149" spans="1:4" x14ac:dyDescent="0.3">
      <c r="A149">
        <v>148</v>
      </c>
      <c r="B149" t="s">
        <v>336</v>
      </c>
      <c r="C149" t="s">
        <v>275</v>
      </c>
      <c r="D149" t="b">
        <v>0</v>
      </c>
    </row>
    <row r="150" spans="1:4" x14ac:dyDescent="0.3">
      <c r="A150">
        <v>149</v>
      </c>
      <c r="B150" t="s">
        <v>281</v>
      </c>
      <c r="C150" t="s">
        <v>275</v>
      </c>
      <c r="D150" t="b">
        <v>0</v>
      </c>
    </row>
    <row r="151" spans="1:4" x14ac:dyDescent="0.3">
      <c r="A151">
        <v>150</v>
      </c>
      <c r="B151" t="s">
        <v>299</v>
      </c>
      <c r="C151" t="s">
        <v>275</v>
      </c>
      <c r="D151" t="b">
        <v>0</v>
      </c>
    </row>
    <row r="152" spans="1:4" x14ac:dyDescent="0.3">
      <c r="A152">
        <v>151</v>
      </c>
      <c r="B152" t="s">
        <v>304</v>
      </c>
      <c r="C152" t="s">
        <v>275</v>
      </c>
      <c r="D152" t="b">
        <v>0</v>
      </c>
    </row>
    <row r="153" spans="1:4" x14ac:dyDescent="0.3">
      <c r="A153">
        <v>152</v>
      </c>
      <c r="B153" t="s">
        <v>339</v>
      </c>
      <c r="C153" t="s">
        <v>275</v>
      </c>
      <c r="D153" t="b">
        <v>0</v>
      </c>
    </row>
    <row r="154" spans="1:4" x14ac:dyDescent="0.3">
      <c r="A154">
        <v>153</v>
      </c>
      <c r="B154" t="s">
        <v>340</v>
      </c>
      <c r="C154" t="s">
        <v>275</v>
      </c>
      <c r="D154" t="b">
        <v>0</v>
      </c>
    </row>
    <row r="155" spans="1:4" x14ac:dyDescent="0.3">
      <c r="A155">
        <v>154</v>
      </c>
      <c r="B155" t="s">
        <v>341</v>
      </c>
      <c r="C155" t="s">
        <v>275</v>
      </c>
      <c r="D155" t="b">
        <v>0</v>
      </c>
    </row>
    <row r="156" spans="1:4" x14ac:dyDescent="0.3">
      <c r="A156">
        <v>155</v>
      </c>
      <c r="B156" t="s">
        <v>290</v>
      </c>
      <c r="C156" t="s">
        <v>275</v>
      </c>
      <c r="D156" t="b">
        <v>0</v>
      </c>
    </row>
    <row r="157" spans="1:4" x14ac:dyDescent="0.3">
      <c r="A157">
        <v>156</v>
      </c>
      <c r="B157" t="s">
        <v>321</v>
      </c>
      <c r="C157" t="s">
        <v>275</v>
      </c>
      <c r="D157" t="b">
        <v>0</v>
      </c>
    </row>
    <row r="158" spans="1:4" x14ac:dyDescent="0.3">
      <c r="A158">
        <v>157</v>
      </c>
      <c r="B158" t="s">
        <v>285</v>
      </c>
      <c r="C158" t="s">
        <v>275</v>
      </c>
      <c r="D158" t="b">
        <v>0</v>
      </c>
    </row>
    <row r="159" spans="1:4" x14ac:dyDescent="0.3">
      <c r="A159">
        <v>158</v>
      </c>
      <c r="B159" t="s">
        <v>295</v>
      </c>
      <c r="C159" t="s">
        <v>275</v>
      </c>
      <c r="D159" t="b">
        <v>0</v>
      </c>
    </row>
    <row r="160" spans="1:4" x14ac:dyDescent="0.3">
      <c r="A160">
        <v>159</v>
      </c>
      <c r="B160" t="s">
        <v>280</v>
      </c>
      <c r="C160" t="s">
        <v>275</v>
      </c>
      <c r="D160" t="b">
        <v>0</v>
      </c>
    </row>
    <row r="161" spans="1:4" x14ac:dyDescent="0.3">
      <c r="A161">
        <v>160</v>
      </c>
      <c r="B161" t="s">
        <v>328</v>
      </c>
      <c r="C161" t="s">
        <v>275</v>
      </c>
      <c r="D161" t="b">
        <v>0</v>
      </c>
    </row>
    <row r="162" spans="1:4" x14ac:dyDescent="0.3">
      <c r="A162">
        <v>161</v>
      </c>
      <c r="B162" t="s">
        <v>301</v>
      </c>
      <c r="C162" t="s">
        <v>275</v>
      </c>
      <c r="D162" t="b">
        <v>0</v>
      </c>
    </row>
    <row r="163" spans="1:4" x14ac:dyDescent="0.3">
      <c r="A163">
        <v>162</v>
      </c>
      <c r="B163" t="s">
        <v>340</v>
      </c>
      <c r="C163" t="s">
        <v>275</v>
      </c>
      <c r="D163" t="b">
        <v>0</v>
      </c>
    </row>
    <row r="164" spans="1:4" x14ac:dyDescent="0.3">
      <c r="A164">
        <v>163</v>
      </c>
      <c r="B164" t="s">
        <v>309</v>
      </c>
      <c r="C164" t="s">
        <v>275</v>
      </c>
      <c r="D164" t="b">
        <v>0</v>
      </c>
    </row>
    <row r="165" spans="1:4" x14ac:dyDescent="0.3">
      <c r="A165">
        <v>164</v>
      </c>
      <c r="B165" t="s">
        <v>342</v>
      </c>
      <c r="C165" t="s">
        <v>275</v>
      </c>
      <c r="D165" t="b">
        <v>0</v>
      </c>
    </row>
    <row r="166" spans="1:4" x14ac:dyDescent="0.3">
      <c r="A166">
        <v>165</v>
      </c>
      <c r="B166" t="s">
        <v>342</v>
      </c>
      <c r="C166" t="s">
        <v>275</v>
      </c>
      <c r="D166" t="b">
        <v>0</v>
      </c>
    </row>
    <row r="167" spans="1:4" x14ac:dyDescent="0.3">
      <c r="A167">
        <v>166</v>
      </c>
      <c r="B167" t="s">
        <v>300</v>
      </c>
      <c r="C167" t="s">
        <v>275</v>
      </c>
      <c r="D167" t="b">
        <v>0</v>
      </c>
    </row>
    <row r="168" spans="1:4" x14ac:dyDescent="0.3">
      <c r="A168">
        <v>167</v>
      </c>
      <c r="B168" t="s">
        <v>296</v>
      </c>
      <c r="C168" t="s">
        <v>275</v>
      </c>
      <c r="D168" t="b">
        <v>0</v>
      </c>
    </row>
    <row r="169" spans="1:4" x14ac:dyDescent="0.3">
      <c r="A169">
        <v>168</v>
      </c>
      <c r="B169" t="s">
        <v>308</v>
      </c>
      <c r="C169" t="s">
        <v>275</v>
      </c>
      <c r="D169" t="b">
        <v>0</v>
      </c>
    </row>
    <row r="170" spans="1:4" x14ac:dyDescent="0.3">
      <c r="A170">
        <v>169</v>
      </c>
      <c r="B170" t="s">
        <v>302</v>
      </c>
      <c r="C170" t="s">
        <v>275</v>
      </c>
      <c r="D170" t="b">
        <v>0</v>
      </c>
    </row>
    <row r="171" spans="1:4" x14ac:dyDescent="0.3">
      <c r="A171">
        <v>170</v>
      </c>
      <c r="B171" t="s">
        <v>307</v>
      </c>
      <c r="C171" t="s">
        <v>275</v>
      </c>
      <c r="D171" t="b">
        <v>0</v>
      </c>
    </row>
    <row r="172" spans="1:4" x14ac:dyDescent="0.3">
      <c r="A172">
        <v>171</v>
      </c>
      <c r="B172" t="s">
        <v>294</v>
      </c>
      <c r="C172" t="s">
        <v>275</v>
      </c>
      <c r="D172" t="b">
        <v>0</v>
      </c>
    </row>
    <row r="173" spans="1:4" x14ac:dyDescent="0.3">
      <c r="A173">
        <v>172</v>
      </c>
      <c r="B173" t="s">
        <v>343</v>
      </c>
      <c r="C173" t="s">
        <v>275</v>
      </c>
      <c r="D173" t="b">
        <v>0</v>
      </c>
    </row>
    <row r="174" spans="1:4" x14ac:dyDescent="0.3">
      <c r="A174">
        <v>173</v>
      </c>
      <c r="B174" t="s">
        <v>329</v>
      </c>
      <c r="C174" t="s">
        <v>275</v>
      </c>
      <c r="D174" t="b">
        <v>0</v>
      </c>
    </row>
    <row r="175" spans="1:4" x14ac:dyDescent="0.3">
      <c r="A175">
        <v>174</v>
      </c>
      <c r="B175" t="s">
        <v>303</v>
      </c>
      <c r="C175" t="s">
        <v>275</v>
      </c>
      <c r="D175" t="b">
        <v>0</v>
      </c>
    </row>
    <row r="176" spans="1:4" x14ac:dyDescent="0.3">
      <c r="A176">
        <v>175</v>
      </c>
      <c r="B176" t="s">
        <v>289</v>
      </c>
      <c r="C176" t="s">
        <v>275</v>
      </c>
      <c r="D176" t="b">
        <v>0</v>
      </c>
    </row>
    <row r="177" spans="1:4" x14ac:dyDescent="0.3">
      <c r="A177">
        <v>176</v>
      </c>
      <c r="B177" t="s">
        <v>344</v>
      </c>
      <c r="C177" t="s">
        <v>275</v>
      </c>
      <c r="D177" t="b">
        <v>0</v>
      </c>
    </row>
    <row r="178" spans="1:4" x14ac:dyDescent="0.3">
      <c r="A178">
        <v>177</v>
      </c>
      <c r="B178" t="s">
        <v>336</v>
      </c>
      <c r="C178" t="s">
        <v>275</v>
      </c>
      <c r="D178" t="b">
        <v>0</v>
      </c>
    </row>
    <row r="179" spans="1:4" x14ac:dyDescent="0.3">
      <c r="A179">
        <v>178</v>
      </c>
      <c r="B179" t="s">
        <v>313</v>
      </c>
      <c r="C179" t="s">
        <v>275</v>
      </c>
      <c r="D179" t="b">
        <v>0</v>
      </c>
    </row>
    <row r="180" spans="1:4" x14ac:dyDescent="0.3">
      <c r="A180">
        <v>179</v>
      </c>
      <c r="B180" t="s">
        <v>304</v>
      </c>
      <c r="C180" t="s">
        <v>275</v>
      </c>
      <c r="D180" t="b">
        <v>0</v>
      </c>
    </row>
    <row r="181" spans="1:4" x14ac:dyDescent="0.3">
      <c r="A181">
        <v>180</v>
      </c>
      <c r="B181" t="s">
        <v>307</v>
      </c>
      <c r="C181" t="s">
        <v>275</v>
      </c>
      <c r="D181" t="b">
        <v>0</v>
      </c>
    </row>
    <row r="182" spans="1:4" x14ac:dyDescent="0.3">
      <c r="A182">
        <v>181</v>
      </c>
      <c r="B182" t="s">
        <v>281</v>
      </c>
      <c r="C182" t="s">
        <v>275</v>
      </c>
      <c r="D182" t="b">
        <v>0</v>
      </c>
    </row>
    <row r="183" spans="1:4" x14ac:dyDescent="0.3">
      <c r="A183">
        <v>182</v>
      </c>
      <c r="B183" t="s">
        <v>299</v>
      </c>
      <c r="C183" t="s">
        <v>275</v>
      </c>
      <c r="D183" t="b">
        <v>0</v>
      </c>
    </row>
    <row r="184" spans="1:4" x14ac:dyDescent="0.3">
      <c r="A184">
        <v>183</v>
      </c>
      <c r="B184" t="s">
        <v>338</v>
      </c>
      <c r="C184" t="s">
        <v>275</v>
      </c>
      <c r="D184" t="b">
        <v>0</v>
      </c>
    </row>
    <row r="185" spans="1:4" x14ac:dyDescent="0.3">
      <c r="A185">
        <v>184</v>
      </c>
      <c r="B185" t="s">
        <v>340</v>
      </c>
      <c r="C185" t="s">
        <v>275</v>
      </c>
      <c r="D185" t="b">
        <v>0</v>
      </c>
    </row>
    <row r="186" spans="1:4" x14ac:dyDescent="0.3">
      <c r="A186">
        <v>185</v>
      </c>
      <c r="B186" t="s">
        <v>320</v>
      </c>
      <c r="C186" t="s">
        <v>275</v>
      </c>
      <c r="D186" t="b">
        <v>0</v>
      </c>
    </row>
    <row r="187" spans="1:4" x14ac:dyDescent="0.3">
      <c r="A187">
        <v>186</v>
      </c>
      <c r="B187" t="s">
        <v>286</v>
      </c>
      <c r="C187" t="s">
        <v>275</v>
      </c>
      <c r="D187" t="b">
        <v>0</v>
      </c>
    </row>
    <row r="188" spans="1:4" x14ac:dyDescent="0.3">
      <c r="A188">
        <v>187</v>
      </c>
      <c r="B188" t="s">
        <v>290</v>
      </c>
      <c r="C188" t="s">
        <v>275</v>
      </c>
      <c r="D188" t="b">
        <v>0</v>
      </c>
    </row>
    <row r="189" spans="1:4" x14ac:dyDescent="0.3">
      <c r="A189">
        <v>188</v>
      </c>
      <c r="B189" t="s">
        <v>296</v>
      </c>
      <c r="C189" t="s">
        <v>275</v>
      </c>
      <c r="D189" t="b">
        <v>0</v>
      </c>
    </row>
    <row r="190" spans="1:4" x14ac:dyDescent="0.3">
      <c r="A190">
        <v>189</v>
      </c>
      <c r="B190" t="s">
        <v>309</v>
      </c>
      <c r="C190" t="s">
        <v>275</v>
      </c>
      <c r="D190" t="b">
        <v>0</v>
      </c>
    </row>
    <row r="191" spans="1:4" x14ac:dyDescent="0.3">
      <c r="A191">
        <v>190</v>
      </c>
      <c r="B191" t="s">
        <v>342</v>
      </c>
      <c r="C191" t="s">
        <v>275</v>
      </c>
      <c r="D191" t="b">
        <v>0</v>
      </c>
    </row>
    <row r="192" spans="1:4" x14ac:dyDescent="0.3">
      <c r="A192">
        <v>191</v>
      </c>
      <c r="B192" t="s">
        <v>306</v>
      </c>
      <c r="C192" t="s">
        <v>275</v>
      </c>
      <c r="D192" t="b">
        <v>0</v>
      </c>
    </row>
    <row r="193" spans="1:4" x14ac:dyDescent="0.3">
      <c r="A193">
        <v>192</v>
      </c>
      <c r="B193" t="s">
        <v>344</v>
      </c>
      <c r="C193" t="s">
        <v>275</v>
      </c>
      <c r="D193" t="b">
        <v>0</v>
      </c>
    </row>
    <row r="194" spans="1:4" x14ac:dyDescent="0.3">
      <c r="A194">
        <v>193</v>
      </c>
      <c r="B194" t="s">
        <v>335</v>
      </c>
      <c r="C194" t="s">
        <v>275</v>
      </c>
      <c r="D194" t="b">
        <v>0</v>
      </c>
    </row>
    <row r="195" spans="1:4" x14ac:dyDescent="0.3">
      <c r="A195">
        <v>194</v>
      </c>
      <c r="B195" t="s">
        <v>302</v>
      </c>
      <c r="C195" t="s">
        <v>275</v>
      </c>
      <c r="D195" t="b">
        <v>0</v>
      </c>
    </row>
    <row r="196" spans="1:4" x14ac:dyDescent="0.3">
      <c r="A196">
        <v>195</v>
      </c>
      <c r="B196" t="s">
        <v>300</v>
      </c>
      <c r="C196" t="s">
        <v>275</v>
      </c>
      <c r="D196" t="b">
        <v>0</v>
      </c>
    </row>
    <row r="197" spans="1:4" x14ac:dyDescent="0.3">
      <c r="A197">
        <v>196</v>
      </c>
      <c r="B197" t="s">
        <v>328</v>
      </c>
      <c r="C197" t="s">
        <v>275</v>
      </c>
      <c r="D197" t="b">
        <v>0</v>
      </c>
    </row>
    <row r="198" spans="1:4" x14ac:dyDescent="0.3">
      <c r="A198">
        <v>197</v>
      </c>
      <c r="B198" t="s">
        <v>345</v>
      </c>
      <c r="C198" t="s">
        <v>275</v>
      </c>
      <c r="D198" t="b">
        <v>0</v>
      </c>
    </row>
    <row r="199" spans="1:4" x14ac:dyDescent="0.3">
      <c r="A199">
        <v>198</v>
      </c>
      <c r="B199" t="s">
        <v>289</v>
      </c>
      <c r="C199" t="s">
        <v>275</v>
      </c>
      <c r="D199" t="b">
        <v>0</v>
      </c>
    </row>
    <row r="200" spans="1:4" x14ac:dyDescent="0.3">
      <c r="A200">
        <v>199</v>
      </c>
      <c r="B200" t="s">
        <v>283</v>
      </c>
      <c r="C200" t="s">
        <v>275</v>
      </c>
      <c r="D200" t="b">
        <v>0</v>
      </c>
    </row>
    <row r="201" spans="1:4" x14ac:dyDescent="0.3">
      <c r="A201">
        <v>200</v>
      </c>
      <c r="B201" t="s">
        <v>346</v>
      </c>
      <c r="C201" t="s">
        <v>275</v>
      </c>
      <c r="D201" t="b">
        <v>0</v>
      </c>
    </row>
    <row r="202" spans="1:4" x14ac:dyDescent="0.3">
      <c r="A202">
        <v>201</v>
      </c>
      <c r="B202" t="s">
        <v>304</v>
      </c>
      <c r="C202" t="s">
        <v>275</v>
      </c>
      <c r="D202" t="b">
        <v>0</v>
      </c>
    </row>
    <row r="203" spans="1:4" x14ac:dyDescent="0.3">
      <c r="A203">
        <v>202</v>
      </c>
      <c r="B203" t="s">
        <v>343</v>
      </c>
      <c r="C203" t="s">
        <v>275</v>
      </c>
      <c r="D203" t="b">
        <v>0</v>
      </c>
    </row>
    <row r="204" spans="1:4" x14ac:dyDescent="0.3">
      <c r="A204">
        <v>203</v>
      </c>
      <c r="B204" t="s">
        <v>313</v>
      </c>
      <c r="C204" t="s">
        <v>275</v>
      </c>
      <c r="D204" t="b">
        <v>0</v>
      </c>
    </row>
    <row r="205" spans="1:4" x14ac:dyDescent="0.3">
      <c r="A205">
        <v>204</v>
      </c>
      <c r="B205" t="s">
        <v>336</v>
      </c>
      <c r="C205" t="s">
        <v>275</v>
      </c>
      <c r="D205" t="b">
        <v>0</v>
      </c>
    </row>
    <row r="206" spans="1:4" x14ac:dyDescent="0.3">
      <c r="A206">
        <v>205</v>
      </c>
      <c r="B206" t="s">
        <v>287</v>
      </c>
      <c r="C206" t="s">
        <v>275</v>
      </c>
      <c r="D206" t="b">
        <v>0</v>
      </c>
    </row>
    <row r="207" spans="1:4" x14ac:dyDescent="0.3">
      <c r="A207">
        <v>206</v>
      </c>
      <c r="B207" t="s">
        <v>347</v>
      </c>
      <c r="C207" t="s">
        <v>275</v>
      </c>
      <c r="D207" t="b">
        <v>0</v>
      </c>
    </row>
    <row r="208" spans="1:4" x14ac:dyDescent="0.3">
      <c r="A208">
        <v>207</v>
      </c>
      <c r="B208" t="s">
        <v>299</v>
      </c>
      <c r="C208" t="s">
        <v>275</v>
      </c>
      <c r="D208" t="b">
        <v>0</v>
      </c>
    </row>
    <row r="209" spans="1:4" x14ac:dyDescent="0.3">
      <c r="A209">
        <v>208</v>
      </c>
      <c r="B209" t="s">
        <v>338</v>
      </c>
      <c r="C209" t="s">
        <v>275</v>
      </c>
      <c r="D209" t="b">
        <v>0</v>
      </c>
    </row>
    <row r="210" spans="1:4" x14ac:dyDescent="0.3">
      <c r="A210">
        <v>209</v>
      </c>
      <c r="B210" t="s">
        <v>348</v>
      </c>
      <c r="C210" t="s">
        <v>275</v>
      </c>
      <c r="D210" t="b">
        <v>0</v>
      </c>
    </row>
    <row r="211" spans="1:4" x14ac:dyDescent="0.3">
      <c r="A211">
        <v>210</v>
      </c>
      <c r="B211" t="s">
        <v>285</v>
      </c>
      <c r="C211" t="s">
        <v>275</v>
      </c>
      <c r="D211" t="b">
        <v>0</v>
      </c>
    </row>
    <row r="212" spans="1:4" x14ac:dyDescent="0.3">
      <c r="A212">
        <v>211</v>
      </c>
      <c r="B212" t="s">
        <v>321</v>
      </c>
      <c r="C212" t="s">
        <v>275</v>
      </c>
      <c r="D212" t="b">
        <v>0</v>
      </c>
    </row>
    <row r="213" spans="1:4" x14ac:dyDescent="0.3">
      <c r="A213">
        <v>212</v>
      </c>
      <c r="B213" t="s">
        <v>349</v>
      </c>
      <c r="C213" t="s">
        <v>275</v>
      </c>
      <c r="D213" t="b">
        <v>0</v>
      </c>
    </row>
    <row r="214" spans="1:4" x14ac:dyDescent="0.3">
      <c r="A214">
        <v>213</v>
      </c>
      <c r="B214" t="s">
        <v>281</v>
      </c>
      <c r="C214" t="s">
        <v>275</v>
      </c>
      <c r="D214" t="b">
        <v>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Variable_Map_Wide</vt:lpstr>
      <vt:lpstr>Factor_Levels</vt:lpstr>
      <vt:lpstr>Change_Log</vt:lpstr>
      <vt:lpstr>Original_Metadata</vt:lpstr>
      <vt:lpstr>Review_IDs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10ago</dc:creator>
  <cp:lastModifiedBy>Alejandro González Heras</cp:lastModifiedBy>
  <dcterms:created xsi:type="dcterms:W3CDTF">2026-03-10T14:55:46Z</dcterms:created>
  <dcterms:modified xsi:type="dcterms:W3CDTF">2026-03-28T21:57:07Z</dcterms:modified>
</cp:coreProperties>
</file>